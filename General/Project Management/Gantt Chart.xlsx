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https://nusu.sharepoint.com/sites/CDE4301BoxBunny2/Shared Documents/General/Project Management/"/>
    </mc:Choice>
  </mc:AlternateContent>
  <xr:revisionPtr revIDLastSave="427" documentId="11_E1B78DA6300B3F369A0680A5D3630EAF3CED7861" xr6:coauthVersionLast="47" xr6:coauthVersionMax="47" xr10:uidLastSave="{DBCE2F52-1662-4FDD-B5A1-3E3CAC0BC69A}"/>
  <bookViews>
    <workbookView xWindow="-80" yWindow="-80" windowWidth="19360" windowHeight="10240" firstSheet="1" activeTab="1" xr2:uid="{00000000-000D-0000-FFFF-FFFF00000000}"/>
  </bookViews>
  <sheets>
    <sheet name="Sheet1" sheetId="1" state="hidden" r:id="rId1"/>
    <sheet name="To Do 2025 Timeline" sheetId="2" r:id="rId2"/>
    <sheet name="Task Description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" l="1"/>
  <c r="A8" i="2"/>
  <c r="A6" i="2"/>
  <c r="A5" i="2"/>
  <c r="A19" i="2"/>
  <c r="A18" i="2"/>
  <c r="A17" i="2"/>
  <c r="A15" i="2"/>
  <c r="A16" i="2"/>
  <c r="A14" i="2"/>
  <c r="A13" i="2"/>
  <c r="A10" i="2"/>
  <c r="A9" i="2"/>
  <c r="A7" i="2"/>
  <c r="A4" i="2"/>
  <c r="A3" i="2"/>
</calcChain>
</file>

<file path=xl/sharedStrings.xml><?xml version="1.0" encoding="utf-8"?>
<sst xmlns="http://schemas.openxmlformats.org/spreadsheetml/2006/main" count="150" uniqueCount="81">
  <si>
    <t>Tasks</t>
  </si>
  <si>
    <t>Duration</t>
  </si>
  <si>
    <t>12 Aug 2024 - 8 Sep 2024</t>
  </si>
  <si>
    <t>9 Sep 2024 - 6 Oct 2024</t>
  </si>
  <si>
    <t>7 Oct 2024 - 3 Nov 2024</t>
  </si>
  <si>
    <t>1. Set up user interface</t>
  </si>
  <si>
    <t>1 week</t>
  </si>
  <si>
    <t>2. Test Motors and Size Battery</t>
  </si>
  <si>
    <t>2 weeks</t>
  </si>
  <si>
    <t>3. Complete speed, direction control, and encoder setup</t>
  </si>
  <si>
    <t>4. Design arm and motor connector</t>
  </si>
  <si>
    <t>5. Modify and finalize frame design</t>
  </si>
  <si>
    <t>6. Setup RPI</t>
  </si>
  <si>
    <t>7. Program robot logic</t>
  </si>
  <si>
    <t>8. Procurement</t>
  </si>
  <si>
    <t>3 weeks</t>
  </si>
  <si>
    <t>9. 3D Print connector for arm motor</t>
  </si>
  <si>
    <t>1 weeks</t>
  </si>
  <si>
    <t>10. Program and integrate arms</t>
  </si>
  <si>
    <t>11. Program decision matrix</t>
  </si>
  <si>
    <t>12. Setup and Test Camera CV</t>
  </si>
  <si>
    <t>13. 3D Print Spring Holder and Foam Contacts</t>
  </si>
  <si>
    <t>14. Design and make mounting for electronics</t>
  </si>
  <si>
    <t>15. Assemble Frame</t>
  </si>
  <si>
    <t>16. Synchronize</t>
  </si>
  <si>
    <t>17. Wiring and Powering up the Robot</t>
  </si>
  <si>
    <t>18. Match Specifications, Test, and Troubleshoot</t>
  </si>
  <si>
    <t>19. Report and Slides for Submission</t>
  </si>
  <si>
    <t>June</t>
  </si>
  <si>
    <t>August</t>
  </si>
  <si>
    <t>September</t>
  </si>
  <si>
    <t>November</t>
  </si>
  <si>
    <t>December</t>
  </si>
  <si>
    <t>Research Arm Motor</t>
  </si>
  <si>
    <t>Research Pose Estimation</t>
  </si>
  <si>
    <t>Research on Jetson &amp; ROS</t>
  </si>
  <si>
    <t>Develop full pose estimation model</t>
  </si>
  <si>
    <t xml:space="preserve">Develop UI </t>
  </si>
  <si>
    <t>Develop Arm</t>
  </si>
  <si>
    <t>Enable Jetson to perform mechanical action</t>
  </si>
  <si>
    <t>Integrate app with Jetson</t>
  </si>
  <si>
    <t>Integrate arm with Jetson (bare bones, disconnected from shoulder)</t>
  </si>
  <si>
    <t>Change paddings of the robot</t>
  </si>
  <si>
    <t>Design shoulder to integrate real sense, arm and screen</t>
  </si>
  <si>
    <t>Build shoulder</t>
  </si>
  <si>
    <t>Assemble upper</t>
  </si>
  <si>
    <t>W3</t>
  </si>
  <si>
    <t>W4</t>
  </si>
  <si>
    <t>W1</t>
  </si>
  <si>
    <t>W2</t>
  </si>
  <si>
    <t>July</t>
  </si>
  <si>
    <t>October</t>
  </si>
  <si>
    <t>Jeanette
Elgin</t>
  </si>
  <si>
    <t>Zakir</t>
  </si>
  <si>
    <t>Elgin</t>
  </si>
  <si>
    <t>Jeanette</t>
  </si>
  <si>
    <t>Yogee</t>
  </si>
  <si>
    <t>PCB design</t>
  </si>
  <si>
    <t>Everyone</t>
  </si>
  <si>
    <t>Integrate pose estimation to app</t>
  </si>
  <si>
    <t>Yogee
Zakir</t>
  </si>
  <si>
    <t>Week 0</t>
  </si>
  <si>
    <t>Week 1</t>
  </si>
  <si>
    <t>Week 2</t>
  </si>
  <si>
    <t>Week 3</t>
  </si>
  <si>
    <t>Week 4</t>
  </si>
  <si>
    <t>Week 5</t>
  </si>
  <si>
    <t>Week 6</t>
  </si>
  <si>
    <t>Recess Week</t>
  </si>
  <si>
    <t>Week 7, 
Examination Week</t>
  </si>
  <si>
    <t>Week 8</t>
  </si>
  <si>
    <t>Week 9</t>
  </si>
  <si>
    <t>Week 10</t>
  </si>
  <si>
    <t>Week 11</t>
  </si>
  <si>
    <t>Week 12</t>
  </si>
  <si>
    <t>Week 13</t>
  </si>
  <si>
    <t>Reading Week</t>
  </si>
  <si>
    <t>Examination Weeks</t>
  </si>
  <si>
    <t>Arm Prototype</t>
  </si>
  <si>
    <t>Research on Desktop App Development</t>
  </si>
  <si>
    <t>Develop UI (with actuation)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</si>
</sst>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rgb="FF000000"/>
      <name val="Aptos Display"/>
    </font>
    <font>
      <sz val="12"/>
      <color rgb="FF000000"/>
      <name val="Aptos Display"/>
    </font>
    <font>
      <sz val="12"/>
      <name val="Aptos Display"/>
    </font>
    <font>
      <sz val="10"/>
      <name val="Aptos Display"/>
    </font>
    <font>
      <sz val="10"/>
      <color rgb="FF000000"/>
      <name val="Aptos Display"/>
    </font>
    <font>
      <sz val="11"/>
      <color rgb="FF000000"/>
      <name val="Aptos Narrow"/>
      <family val="2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215C98"/>
        <bgColor rgb="FF000000"/>
      </patternFill>
    </fill>
    <fill>
      <patternFill patternType="solid">
        <fgColor rgb="FF153D6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5">
    <xf numFmtId="0" fontId="0" fillId="0" borderId="0" xfId="0"/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2" fillId="2" borderId="10" xfId="0" applyFont="1" applyFill="1" applyBorder="1" applyAlignment="1">
      <alignment wrapText="1" readingOrder="1"/>
    </xf>
    <xf numFmtId="0" fontId="4" fillId="3" borderId="8" xfId="0" applyFont="1" applyFill="1" applyBorder="1" applyAlignment="1">
      <alignment readingOrder="1"/>
    </xf>
    <xf numFmtId="0" fontId="5" fillId="0" borderId="8" xfId="0" applyFont="1" applyBorder="1" applyAlignment="1">
      <alignment readingOrder="1"/>
    </xf>
    <xf numFmtId="0" fontId="5" fillId="2" borderId="8" xfId="0" applyFont="1" applyFill="1" applyBorder="1" applyAlignment="1">
      <alignment readingOrder="1"/>
    </xf>
    <xf numFmtId="0" fontId="5" fillId="2" borderId="9" xfId="0" applyFont="1" applyFill="1" applyBorder="1" applyAlignment="1">
      <alignment readingOrder="1"/>
    </xf>
    <xf numFmtId="0" fontId="4" fillId="4" borderId="8" xfId="0" applyFont="1" applyFill="1" applyBorder="1" applyAlignment="1">
      <alignment readingOrder="1"/>
    </xf>
    <xf numFmtId="0" fontId="5" fillId="5" borderId="8" xfId="0" applyFont="1" applyFill="1" applyBorder="1" applyAlignment="1">
      <alignment readingOrder="1"/>
    </xf>
    <xf numFmtId="0" fontId="5" fillId="4" borderId="8" xfId="0" applyFont="1" applyFill="1" applyBorder="1" applyAlignment="1">
      <alignment readingOrder="1"/>
    </xf>
    <xf numFmtId="0" fontId="5" fillId="0" borderId="9" xfId="0" applyFont="1" applyBorder="1" applyAlignment="1">
      <alignment readingOrder="1"/>
    </xf>
    <xf numFmtId="0" fontId="6" fillId="5" borderId="8" xfId="0" applyFont="1" applyFill="1" applyBorder="1"/>
    <xf numFmtId="0" fontId="5" fillId="6" borderId="8" xfId="0" applyFont="1" applyFill="1" applyBorder="1" applyAlignment="1">
      <alignment readingOrder="1"/>
    </xf>
    <xf numFmtId="0" fontId="5" fillId="3" borderId="8" xfId="0" applyFont="1" applyFill="1" applyBorder="1" applyAlignment="1">
      <alignment readingOrder="1"/>
    </xf>
    <xf numFmtId="0" fontId="2" fillId="0" borderId="10" xfId="0" applyFont="1" applyBorder="1" applyAlignment="1">
      <alignment wrapText="1" readingOrder="1"/>
    </xf>
    <xf numFmtId="0" fontId="5" fillId="7" borderId="8" xfId="0" applyFont="1" applyFill="1" applyBorder="1" applyAlignment="1">
      <alignment readingOrder="1"/>
    </xf>
    <xf numFmtId="0" fontId="5" fillId="0" borderId="12" xfId="0" applyFont="1" applyBorder="1" applyAlignment="1">
      <alignment readingOrder="1"/>
    </xf>
    <xf numFmtId="0" fontId="5" fillId="7" borderId="12" xfId="0" applyFont="1" applyFill="1" applyBorder="1" applyAlignment="1">
      <alignment readingOrder="1"/>
    </xf>
    <xf numFmtId="0" fontId="5" fillId="7" borderId="13" xfId="0" applyFont="1" applyFill="1" applyBorder="1" applyAlignment="1">
      <alignment readingOrder="1"/>
    </xf>
    <xf numFmtId="0" fontId="3" fillId="2" borderId="8" xfId="0" applyFont="1" applyFill="1" applyBorder="1" applyAlignment="1">
      <alignment wrapText="1" readingOrder="1"/>
    </xf>
    <xf numFmtId="0" fontId="2" fillId="0" borderId="10" xfId="0" applyFont="1" applyBorder="1" applyAlignment="1">
      <alignment wrapText="1"/>
    </xf>
    <xf numFmtId="0" fontId="3" fillId="0" borderId="8" xfId="0" applyFont="1" applyBorder="1" applyAlignment="1">
      <alignment wrapText="1" readingOrder="1"/>
    </xf>
    <xf numFmtId="0" fontId="3" fillId="2" borderId="10" xfId="0" applyFont="1" applyFill="1" applyBorder="1" applyAlignment="1">
      <alignment wrapText="1" readingOrder="1"/>
    </xf>
    <xf numFmtId="0" fontId="3" fillId="0" borderId="10" xfId="0" applyFont="1" applyBorder="1" applyAlignment="1">
      <alignment wrapText="1" readingOrder="1"/>
    </xf>
    <xf numFmtId="0" fontId="2" fillId="0" borderId="11" xfId="0" applyFont="1" applyBorder="1" applyAlignment="1">
      <alignment wrapText="1" readingOrder="1"/>
    </xf>
    <xf numFmtId="0" fontId="3" fillId="0" borderId="12" xfId="0" applyFont="1" applyBorder="1" applyAlignment="1">
      <alignment wrapText="1" readingOrder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9" fillId="0" borderId="8" xfId="1" applyBorder="1" applyAlignment="1">
      <alignment vertical="center" wrapText="1"/>
    </xf>
    <xf numFmtId="0" fontId="9" fillId="0" borderId="15" xfId="1" applyBorder="1" applyAlignment="1">
      <alignment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9" borderId="1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 readingOrder="1"/>
    </xf>
    <xf numFmtId="0" fontId="1" fillId="2" borderId="2" xfId="0" applyFont="1" applyFill="1" applyBorder="1" applyAlignment="1">
      <alignment wrapText="1" readingOrder="1"/>
    </xf>
    <xf numFmtId="0" fontId="1" fillId="2" borderId="3" xfId="0" applyFont="1" applyFill="1" applyBorder="1" applyAlignment="1">
      <alignment wrapText="1" readingOrder="1"/>
    </xf>
    <xf numFmtId="0" fontId="1" fillId="2" borderId="4" xfId="0" applyFont="1" applyFill="1" applyBorder="1" applyAlignment="1">
      <alignment wrapText="1" readingOrder="1"/>
    </xf>
    <xf numFmtId="0" fontId="1" fillId="0" borderId="5" xfId="0" applyFont="1" applyBorder="1" applyAlignment="1">
      <alignment wrapText="1" readingOrder="1"/>
    </xf>
    <xf numFmtId="0" fontId="1" fillId="0" borderId="6" xfId="0" applyFont="1" applyBorder="1" applyAlignment="1">
      <alignment wrapText="1" readingOrder="1"/>
    </xf>
    <xf numFmtId="0" fontId="1" fillId="0" borderId="7" xfId="0" applyFont="1" applyBorder="1" applyAlignment="1">
      <alignment wrapText="1" readingOrder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workbookViewId="0">
      <selection sqref="A1:B1048576"/>
    </sheetView>
  </sheetViews>
  <sheetFormatPr defaultRowHeight="15" x14ac:dyDescent="0.25"/>
  <cols>
    <col min="1" max="1" width="54.28515625" style="27" bestFit="1" customWidth="1"/>
    <col min="2" max="2" width="9.85546875" style="27" bestFit="1" customWidth="1"/>
  </cols>
  <sheetData>
    <row r="1" spans="1:14" ht="15" customHeight="1" x14ac:dyDescent="0.25">
      <c r="A1" s="44" t="s">
        <v>0</v>
      </c>
      <c r="B1" s="46" t="s">
        <v>1</v>
      </c>
      <c r="C1" s="48" t="s">
        <v>2</v>
      </c>
      <c r="D1" s="49"/>
      <c r="E1" s="49"/>
      <c r="F1" s="50"/>
      <c r="G1" s="48" t="s">
        <v>3</v>
      </c>
      <c r="H1" s="49"/>
      <c r="I1" s="49"/>
      <c r="J1" s="50"/>
      <c r="K1" s="48" t="s">
        <v>4</v>
      </c>
      <c r="L1" s="49"/>
      <c r="M1" s="49"/>
      <c r="N1" s="50"/>
    </row>
    <row r="2" spans="1:14" ht="15.75" x14ac:dyDescent="0.25">
      <c r="A2" s="45"/>
      <c r="B2" s="47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2">
        <v>12</v>
      </c>
    </row>
    <row r="3" spans="1:14" ht="15.75" x14ac:dyDescent="0.25">
      <c r="A3" s="3" t="s">
        <v>5</v>
      </c>
      <c r="B3" s="20" t="s">
        <v>6</v>
      </c>
      <c r="C3" s="4"/>
      <c r="D3" s="5"/>
      <c r="E3" s="5"/>
      <c r="F3" s="5"/>
      <c r="G3" s="6"/>
      <c r="H3" s="6"/>
      <c r="I3" s="6"/>
      <c r="J3" s="6"/>
      <c r="K3" s="6"/>
      <c r="L3" s="6"/>
      <c r="M3" s="6"/>
      <c r="N3" s="7"/>
    </row>
    <row r="4" spans="1:14" ht="15.75" x14ac:dyDescent="0.25">
      <c r="A4" s="3" t="s">
        <v>7</v>
      </c>
      <c r="B4" s="20" t="s">
        <v>8</v>
      </c>
      <c r="C4" s="8"/>
      <c r="D4" s="9"/>
      <c r="E4" s="5"/>
      <c r="F4" s="5"/>
      <c r="G4" s="6"/>
      <c r="H4" s="6"/>
      <c r="I4" s="6"/>
      <c r="J4" s="6"/>
      <c r="K4" s="6"/>
      <c r="L4" s="6"/>
      <c r="M4" s="6"/>
      <c r="N4" s="7"/>
    </row>
    <row r="5" spans="1:14" ht="15.75" x14ac:dyDescent="0.25">
      <c r="A5" s="21" t="s">
        <v>9</v>
      </c>
      <c r="B5" s="20" t="s">
        <v>8</v>
      </c>
      <c r="C5" s="10"/>
      <c r="D5" s="10"/>
      <c r="E5" s="5"/>
      <c r="F5" s="5"/>
      <c r="G5" s="5"/>
      <c r="H5" s="5"/>
      <c r="I5" s="5"/>
      <c r="J5" s="5"/>
      <c r="K5" s="5"/>
      <c r="L5" s="5"/>
      <c r="M5" s="5"/>
      <c r="N5" s="11"/>
    </row>
    <row r="6" spans="1:14" ht="15.75" x14ac:dyDescent="0.25">
      <c r="A6" s="21" t="s">
        <v>10</v>
      </c>
      <c r="B6" s="22" t="s">
        <v>8</v>
      </c>
      <c r="C6" s="12"/>
      <c r="D6" s="9"/>
      <c r="E6" s="5"/>
      <c r="F6" s="5"/>
      <c r="G6" s="5"/>
      <c r="H6" s="5"/>
      <c r="I6" s="5"/>
      <c r="J6" s="5"/>
      <c r="K6" s="5"/>
      <c r="L6" s="5"/>
      <c r="M6" s="5"/>
      <c r="N6" s="11"/>
    </row>
    <row r="7" spans="1:14" ht="15.75" x14ac:dyDescent="0.25">
      <c r="A7" s="21" t="s">
        <v>11</v>
      </c>
      <c r="B7" s="22" t="s">
        <v>8</v>
      </c>
      <c r="C7" s="13"/>
      <c r="D7" s="13"/>
      <c r="E7" s="5"/>
      <c r="F7" s="5"/>
      <c r="G7" s="5"/>
      <c r="H7" s="5"/>
      <c r="I7" s="5"/>
      <c r="J7" s="5"/>
      <c r="K7" s="5"/>
      <c r="L7" s="5"/>
      <c r="M7" s="5"/>
      <c r="N7" s="11"/>
    </row>
    <row r="8" spans="1:14" ht="15.75" x14ac:dyDescent="0.25">
      <c r="A8" s="23" t="s">
        <v>12</v>
      </c>
      <c r="B8" s="22" t="s">
        <v>6</v>
      </c>
      <c r="C8" s="5"/>
      <c r="D8" s="14"/>
      <c r="E8" s="5"/>
      <c r="F8" s="5"/>
      <c r="G8" s="5"/>
      <c r="H8" s="5"/>
      <c r="I8" s="5"/>
      <c r="J8" s="5"/>
      <c r="K8" s="5"/>
      <c r="L8" s="5"/>
      <c r="M8" s="5"/>
      <c r="N8" s="11"/>
    </row>
    <row r="9" spans="1:14" ht="15.75" x14ac:dyDescent="0.25">
      <c r="A9" s="21" t="s">
        <v>13</v>
      </c>
      <c r="B9" s="22" t="s">
        <v>6</v>
      </c>
      <c r="C9" s="5"/>
      <c r="D9" s="14"/>
      <c r="E9" s="5"/>
      <c r="F9" s="5"/>
      <c r="G9" s="5"/>
      <c r="H9" s="5"/>
      <c r="I9" s="5"/>
      <c r="J9" s="5"/>
      <c r="K9" s="5"/>
      <c r="L9" s="5"/>
      <c r="M9" s="5"/>
      <c r="N9" s="11"/>
    </row>
    <row r="10" spans="1:14" ht="15.75" x14ac:dyDescent="0.25">
      <c r="A10" s="15" t="s">
        <v>14</v>
      </c>
      <c r="B10" s="22" t="s">
        <v>15</v>
      </c>
      <c r="C10" s="5"/>
      <c r="D10" s="16"/>
      <c r="E10" s="16"/>
      <c r="F10" s="16"/>
      <c r="G10" s="5"/>
      <c r="H10" s="5"/>
      <c r="I10" s="5"/>
      <c r="J10" s="5"/>
      <c r="K10" s="5"/>
      <c r="L10" s="5"/>
      <c r="M10" s="5"/>
      <c r="N10" s="11"/>
    </row>
    <row r="11" spans="1:14" ht="15.75" x14ac:dyDescent="0.25">
      <c r="A11" s="21" t="s">
        <v>16</v>
      </c>
      <c r="B11" s="22" t="s">
        <v>17</v>
      </c>
      <c r="C11" s="5"/>
      <c r="D11" s="9"/>
      <c r="E11" s="5"/>
      <c r="F11" s="5"/>
      <c r="G11" s="5"/>
      <c r="H11" s="5"/>
      <c r="I11" s="5"/>
      <c r="J11" s="5"/>
      <c r="K11" s="5"/>
      <c r="L11" s="5"/>
      <c r="M11" s="5"/>
      <c r="N11" s="11"/>
    </row>
    <row r="12" spans="1:14" ht="15.75" x14ac:dyDescent="0.25">
      <c r="A12" s="21" t="s">
        <v>18</v>
      </c>
      <c r="B12" s="22" t="s">
        <v>6</v>
      </c>
      <c r="C12" s="5"/>
      <c r="D12" s="9"/>
      <c r="E12" s="5"/>
      <c r="F12" s="5"/>
      <c r="G12" s="5"/>
      <c r="H12" s="5"/>
      <c r="I12" s="5"/>
      <c r="J12" s="5"/>
      <c r="K12" s="5"/>
      <c r="L12" s="5"/>
      <c r="M12" s="5"/>
      <c r="N12" s="11"/>
    </row>
    <row r="13" spans="1:14" ht="15.75" x14ac:dyDescent="0.25">
      <c r="A13" s="21" t="s">
        <v>19</v>
      </c>
      <c r="B13" s="22" t="s">
        <v>15</v>
      </c>
      <c r="C13" s="5"/>
      <c r="D13" s="5"/>
      <c r="E13" s="10"/>
      <c r="F13" s="10"/>
      <c r="G13" s="10"/>
      <c r="H13" s="5"/>
      <c r="I13" s="5"/>
      <c r="J13" s="5"/>
      <c r="K13" s="5"/>
      <c r="L13" s="5"/>
      <c r="M13" s="5"/>
      <c r="N13" s="11"/>
    </row>
    <row r="14" spans="1:14" ht="15.75" x14ac:dyDescent="0.25">
      <c r="A14" s="21" t="s">
        <v>20</v>
      </c>
      <c r="B14" s="22" t="s">
        <v>15</v>
      </c>
      <c r="C14" s="5"/>
      <c r="D14" s="5"/>
      <c r="E14" s="14"/>
      <c r="F14" s="14"/>
      <c r="G14" s="14"/>
      <c r="H14" s="5"/>
      <c r="I14" s="5"/>
      <c r="J14" s="5"/>
      <c r="K14" s="5"/>
      <c r="L14" s="5"/>
      <c r="M14" s="5"/>
      <c r="N14" s="11"/>
    </row>
    <row r="15" spans="1:14" ht="15.75" x14ac:dyDescent="0.25">
      <c r="A15" s="24" t="s">
        <v>21</v>
      </c>
      <c r="B15" s="22" t="s">
        <v>17</v>
      </c>
      <c r="C15" s="5"/>
      <c r="D15" s="5"/>
      <c r="E15" s="13"/>
      <c r="F15" s="5"/>
      <c r="G15" s="5"/>
      <c r="H15" s="5"/>
      <c r="I15" s="5"/>
      <c r="J15" s="5"/>
      <c r="K15" s="5"/>
      <c r="L15" s="5"/>
      <c r="M15" s="5"/>
      <c r="N15" s="11"/>
    </row>
    <row r="16" spans="1:14" ht="15.75" x14ac:dyDescent="0.25">
      <c r="A16" s="24" t="s">
        <v>22</v>
      </c>
      <c r="B16" s="22" t="s">
        <v>8</v>
      </c>
      <c r="C16" s="5"/>
      <c r="D16" s="5"/>
      <c r="E16" s="13"/>
      <c r="F16" s="13"/>
      <c r="G16" s="5"/>
      <c r="H16" s="5"/>
      <c r="I16" s="5"/>
      <c r="J16" s="5"/>
      <c r="K16" s="5"/>
      <c r="L16" s="5"/>
      <c r="M16" s="5"/>
      <c r="N16" s="11"/>
    </row>
    <row r="17" spans="1:14" ht="15.75" x14ac:dyDescent="0.25">
      <c r="A17" s="21" t="s">
        <v>23</v>
      </c>
      <c r="B17" s="22" t="s">
        <v>8</v>
      </c>
      <c r="C17" s="5"/>
      <c r="D17" s="5"/>
      <c r="E17" s="5"/>
      <c r="F17" s="13"/>
      <c r="G17" s="13"/>
      <c r="H17" s="5"/>
      <c r="I17" s="5"/>
      <c r="J17" s="5"/>
      <c r="K17" s="5"/>
      <c r="L17" s="5"/>
      <c r="M17" s="5"/>
      <c r="N17" s="11"/>
    </row>
    <row r="18" spans="1:14" ht="15.75" x14ac:dyDescent="0.25">
      <c r="A18" s="21" t="s">
        <v>24</v>
      </c>
      <c r="B18" s="22" t="s">
        <v>6</v>
      </c>
      <c r="C18" s="5"/>
      <c r="D18" s="5"/>
      <c r="E18" s="5"/>
      <c r="F18" s="5"/>
      <c r="G18" s="5"/>
      <c r="H18" s="16"/>
      <c r="I18" s="5"/>
      <c r="J18" s="5"/>
      <c r="K18" s="5"/>
      <c r="L18" s="5"/>
      <c r="M18" s="5"/>
      <c r="N18" s="11"/>
    </row>
    <row r="19" spans="1:14" ht="15.75" x14ac:dyDescent="0.25">
      <c r="A19" s="21" t="s">
        <v>25</v>
      </c>
      <c r="B19" s="22" t="s">
        <v>6</v>
      </c>
      <c r="C19" s="5"/>
      <c r="D19" s="5"/>
      <c r="E19" s="5"/>
      <c r="F19" s="5"/>
      <c r="G19" s="5"/>
      <c r="H19" s="16"/>
      <c r="I19" s="5"/>
      <c r="J19" s="5"/>
      <c r="K19" s="5"/>
      <c r="L19" s="5"/>
      <c r="M19" s="5"/>
      <c r="N19" s="11"/>
    </row>
    <row r="20" spans="1:14" ht="15.75" x14ac:dyDescent="0.25">
      <c r="A20" s="21" t="s">
        <v>26</v>
      </c>
      <c r="B20" s="22" t="s">
        <v>15</v>
      </c>
      <c r="C20" s="5"/>
      <c r="D20" s="5"/>
      <c r="E20" s="5"/>
      <c r="F20" s="5"/>
      <c r="G20" s="5"/>
      <c r="H20" s="5"/>
      <c r="I20" s="16"/>
      <c r="J20" s="16"/>
      <c r="K20" s="16"/>
      <c r="L20" s="5"/>
      <c r="M20" s="5"/>
      <c r="N20" s="11"/>
    </row>
    <row r="21" spans="1:14" ht="15.75" x14ac:dyDescent="0.25">
      <c r="A21" s="25" t="s">
        <v>27</v>
      </c>
      <c r="B21" s="26" t="s">
        <v>15</v>
      </c>
      <c r="C21" s="17"/>
      <c r="D21" s="17"/>
      <c r="E21" s="17"/>
      <c r="F21" s="17"/>
      <c r="G21" s="17"/>
      <c r="H21" s="17"/>
      <c r="I21" s="17"/>
      <c r="J21" s="17"/>
      <c r="K21" s="17"/>
      <c r="L21" s="18"/>
      <c r="M21" s="18"/>
      <c r="N21" s="19"/>
    </row>
  </sheetData>
  <mergeCells count="5">
    <mergeCell ref="A1:A2"/>
    <mergeCell ref="B1:B2"/>
    <mergeCell ref="C1:F1"/>
    <mergeCell ref="G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DE9A6-1533-488B-BFF6-6AFD124E2BA8}">
  <dimension ref="A1:AB23"/>
  <sheetViews>
    <sheetView tabSelected="1" topLeftCell="A13" workbookViewId="0">
      <pane xSplit="1" topLeftCell="I1" activePane="topRight" state="frozen"/>
      <selection pane="topRight" activeCell="A17" sqref="A17:XFD17"/>
    </sheetView>
  </sheetViews>
  <sheetFormatPr defaultColWidth="0" defaultRowHeight="15" zeroHeight="1" x14ac:dyDescent="0.25"/>
  <cols>
    <col min="1" max="1" width="26.85546875" style="33" customWidth="1"/>
    <col min="2" max="14" width="11.42578125" customWidth="1"/>
    <col min="15" max="15" width="16.42578125" customWidth="1"/>
    <col min="16" max="16" width="18" customWidth="1"/>
    <col min="17" max="22" width="11.42578125" customWidth="1"/>
    <col min="23" max="23" width="12.85546875" bestFit="1" customWidth="1"/>
    <col min="24" max="24" width="17.5703125" bestFit="1" customWidth="1"/>
    <col min="25" max="27" width="11.42578125" customWidth="1"/>
    <col min="28" max="28" width="8.7109375" customWidth="1"/>
    <col min="29" max="16384" width="8.7109375" hidden="1"/>
  </cols>
  <sheetData>
    <row r="1" spans="1:27" x14ac:dyDescent="0.25">
      <c r="A1" s="52"/>
      <c r="B1" s="51" t="s">
        <v>28</v>
      </c>
      <c r="C1" s="51"/>
      <c r="D1" s="51" t="s">
        <v>50</v>
      </c>
      <c r="E1" s="51"/>
      <c r="F1" s="51"/>
      <c r="G1" s="51"/>
      <c r="H1" s="51" t="s">
        <v>29</v>
      </c>
      <c r="I1" s="51"/>
      <c r="J1" s="51"/>
      <c r="K1" s="51"/>
      <c r="L1" s="51" t="s">
        <v>30</v>
      </c>
      <c r="M1" s="51"/>
      <c r="N1" s="51"/>
      <c r="O1" s="51"/>
      <c r="P1" s="51" t="s">
        <v>51</v>
      </c>
      <c r="Q1" s="51"/>
      <c r="R1" s="51"/>
      <c r="S1" s="51"/>
      <c r="T1" s="51" t="s">
        <v>31</v>
      </c>
      <c r="U1" s="51"/>
      <c r="V1" s="51"/>
      <c r="W1" s="51"/>
      <c r="X1" s="51" t="s">
        <v>32</v>
      </c>
      <c r="Y1" s="51"/>
      <c r="Z1" s="51"/>
      <c r="AA1" s="51"/>
    </row>
    <row r="2" spans="1:27" ht="44.45" customHeight="1" x14ac:dyDescent="0.25">
      <c r="A2" s="52"/>
      <c r="B2" s="38" t="s">
        <v>46</v>
      </c>
      <c r="C2" s="38" t="s">
        <v>47</v>
      </c>
      <c r="D2" s="38" t="s">
        <v>48</v>
      </c>
      <c r="E2" s="38" t="s">
        <v>49</v>
      </c>
      <c r="F2" s="38" t="s">
        <v>46</v>
      </c>
      <c r="G2" s="38" t="s">
        <v>47</v>
      </c>
      <c r="H2" s="39" t="s">
        <v>61</v>
      </c>
      <c r="I2" s="29" t="s">
        <v>62</v>
      </c>
      <c r="J2" s="29" t="s">
        <v>63</v>
      </c>
      <c r="K2" s="29" t="s">
        <v>64</v>
      </c>
      <c r="L2" s="29" t="s">
        <v>65</v>
      </c>
      <c r="M2" s="29" t="s">
        <v>66</v>
      </c>
      <c r="N2" s="29" t="s">
        <v>67</v>
      </c>
      <c r="O2" s="29" t="s">
        <v>68</v>
      </c>
      <c r="P2" s="29" t="s">
        <v>69</v>
      </c>
      <c r="Q2" s="38" t="s">
        <v>70</v>
      </c>
      <c r="R2" s="38" t="s">
        <v>71</v>
      </c>
      <c r="S2" s="38" t="s">
        <v>72</v>
      </c>
      <c r="T2" s="38" t="s">
        <v>73</v>
      </c>
      <c r="U2" s="38" t="s">
        <v>74</v>
      </c>
      <c r="V2" s="38" t="s">
        <v>75</v>
      </c>
      <c r="W2" s="38" t="s">
        <v>76</v>
      </c>
      <c r="X2" s="53" t="s">
        <v>77</v>
      </c>
      <c r="Y2" s="54"/>
      <c r="Z2" s="38" t="s">
        <v>46</v>
      </c>
      <c r="AA2" s="38" t="s">
        <v>47</v>
      </c>
    </row>
    <row r="3" spans="1:27" ht="30" x14ac:dyDescent="0.25">
      <c r="A3" s="40" t="str">
        <f>HYPERLINK("#'Task Description'!A1","Research Arm Motor")</f>
        <v>Research Arm Motor</v>
      </c>
      <c r="B3" s="30" t="s">
        <v>52</v>
      </c>
      <c r="C3" s="30" t="s">
        <v>52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36"/>
      <c r="P3" s="36"/>
      <c r="Q3" s="29"/>
      <c r="R3" s="29"/>
      <c r="S3" s="29"/>
      <c r="T3" s="29"/>
      <c r="U3" s="29"/>
      <c r="V3" s="29"/>
      <c r="W3" s="36"/>
      <c r="X3" s="36"/>
      <c r="Y3" s="36"/>
      <c r="Z3" s="29"/>
      <c r="AA3" s="29"/>
    </row>
    <row r="4" spans="1:27" x14ac:dyDescent="0.25">
      <c r="A4" s="40" t="str">
        <f>HYPERLINK("#'Task Description'!B1","Research Pose Estimation")</f>
        <v>Research Pose Estimation</v>
      </c>
      <c r="B4" s="30" t="s">
        <v>56</v>
      </c>
      <c r="C4" s="30" t="s">
        <v>56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36"/>
      <c r="P4" s="36"/>
      <c r="Q4" s="29"/>
      <c r="R4" s="29"/>
      <c r="S4" s="29"/>
      <c r="T4" s="29"/>
      <c r="U4" s="29"/>
      <c r="V4" s="29"/>
      <c r="W4" s="36"/>
      <c r="X4" s="36"/>
      <c r="Y4" s="36"/>
      <c r="Z4" s="29"/>
      <c r="AA4" s="29"/>
    </row>
    <row r="5" spans="1:27" x14ac:dyDescent="0.25">
      <c r="A5" s="40" t="str">
        <f>HYPERLINK("#'Task Description'!C1","Create Figma")</f>
        <v>Create Figma</v>
      </c>
      <c r="B5" s="30" t="s">
        <v>53</v>
      </c>
      <c r="C5" s="30" t="s">
        <v>53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36"/>
      <c r="P5" s="36"/>
      <c r="Q5" s="29"/>
      <c r="R5" s="29"/>
      <c r="S5" s="29"/>
      <c r="T5" s="29"/>
      <c r="U5" s="29"/>
      <c r="V5" s="29"/>
      <c r="W5" s="36"/>
      <c r="X5" s="36"/>
      <c r="Y5" s="36"/>
      <c r="Z5" s="29"/>
      <c r="AA5" s="29"/>
    </row>
    <row r="6" spans="1:27" x14ac:dyDescent="0.25">
      <c r="A6" s="40" t="str">
        <f>HYPERLINK("#'Task Description'!D1","Research on Jetson &amp; ROS")</f>
        <v>Research on Jetson &amp; ROS</v>
      </c>
      <c r="B6" s="30" t="s">
        <v>54</v>
      </c>
      <c r="C6" s="30" t="s">
        <v>54</v>
      </c>
      <c r="D6" s="30" t="s">
        <v>54</v>
      </c>
      <c r="E6" s="30" t="s">
        <v>54</v>
      </c>
      <c r="F6" s="30" t="s">
        <v>54</v>
      </c>
      <c r="G6" s="30" t="s">
        <v>54</v>
      </c>
      <c r="H6" s="29"/>
      <c r="I6" s="29"/>
      <c r="J6" s="29"/>
      <c r="K6" s="29"/>
      <c r="L6" s="29"/>
      <c r="M6" s="29"/>
      <c r="N6" s="29"/>
      <c r="O6" s="36"/>
      <c r="P6" s="36"/>
      <c r="Q6" s="29"/>
      <c r="R6" s="29"/>
      <c r="S6" s="29"/>
      <c r="T6" s="29"/>
      <c r="U6" s="29"/>
      <c r="V6" s="29"/>
      <c r="W6" s="36"/>
      <c r="X6" s="36"/>
      <c r="Y6" s="36"/>
      <c r="Z6" s="29"/>
      <c r="AA6" s="29"/>
    </row>
    <row r="7" spans="1:27" x14ac:dyDescent="0.25">
      <c r="A7" s="40" t="str">
        <f>HYPERLINK("#'Task Description'!E1","Arm Prototype")</f>
        <v>Arm Prototype</v>
      </c>
      <c r="B7" s="29"/>
      <c r="C7" s="29"/>
      <c r="D7" s="30" t="s">
        <v>55</v>
      </c>
      <c r="E7" s="30" t="s">
        <v>55</v>
      </c>
      <c r="F7" s="30" t="s">
        <v>55</v>
      </c>
      <c r="G7" s="30" t="s">
        <v>55</v>
      </c>
      <c r="H7" s="29"/>
      <c r="I7" s="29"/>
      <c r="J7" s="29"/>
      <c r="K7" s="29"/>
      <c r="L7" s="29"/>
      <c r="M7" s="29"/>
      <c r="N7" s="29"/>
      <c r="O7" s="36"/>
      <c r="P7" s="36"/>
      <c r="Q7" s="29"/>
      <c r="R7" s="29"/>
      <c r="S7" s="29"/>
      <c r="T7" s="29"/>
      <c r="U7" s="29"/>
      <c r="V7" s="29"/>
      <c r="W7" s="36"/>
      <c r="X7" s="36"/>
      <c r="Y7" s="36"/>
      <c r="Z7" s="29"/>
      <c r="AA7" s="29"/>
    </row>
    <row r="8" spans="1:27" ht="36" customHeight="1" x14ac:dyDescent="0.25">
      <c r="A8" s="40" t="str">
        <f>HYPERLINK("#'Task Description'!G1","Develop UI (without actuation)")</f>
        <v>Develop UI (without actuation)</v>
      </c>
      <c r="B8" s="29"/>
      <c r="C8" s="29"/>
      <c r="D8" s="30" t="s">
        <v>53</v>
      </c>
      <c r="E8" s="30" t="s">
        <v>53</v>
      </c>
      <c r="F8" s="30" t="s">
        <v>53</v>
      </c>
      <c r="G8" s="30" t="s">
        <v>53</v>
      </c>
      <c r="H8" s="29"/>
      <c r="I8" s="29"/>
      <c r="J8" s="29"/>
      <c r="K8" s="29"/>
      <c r="L8" s="29"/>
      <c r="M8" s="29"/>
      <c r="N8" s="29"/>
      <c r="O8" s="36"/>
      <c r="P8" s="36"/>
      <c r="Q8" s="29"/>
      <c r="R8" s="29"/>
      <c r="S8" s="29"/>
      <c r="T8" s="29"/>
      <c r="U8" s="29"/>
      <c r="V8" s="29"/>
      <c r="W8" s="36"/>
      <c r="X8" s="36"/>
      <c r="Y8" s="36"/>
      <c r="Z8" s="29"/>
      <c r="AA8" s="29"/>
    </row>
    <row r="9" spans="1:27" ht="44.25" customHeight="1" x14ac:dyDescent="0.25">
      <c r="A9" s="40" t="str">
        <f>HYPERLINK("#'Task Description'!F1","Develop full pose estimation model")</f>
        <v>Develop full pose estimation model</v>
      </c>
      <c r="B9" s="29"/>
      <c r="C9" s="29"/>
      <c r="D9" s="30" t="s">
        <v>56</v>
      </c>
      <c r="E9" s="30" t="s">
        <v>56</v>
      </c>
      <c r="F9" s="30" t="s">
        <v>56</v>
      </c>
      <c r="G9" s="30" t="s">
        <v>56</v>
      </c>
      <c r="H9" s="30" t="s">
        <v>56</v>
      </c>
      <c r="I9" s="30" t="s">
        <v>56</v>
      </c>
      <c r="J9" s="30" t="s">
        <v>56</v>
      </c>
      <c r="K9" s="30" t="s">
        <v>56</v>
      </c>
      <c r="L9" s="29"/>
      <c r="M9" s="29"/>
      <c r="N9" s="29"/>
      <c r="O9" s="36"/>
      <c r="P9" s="36"/>
      <c r="Q9" s="29"/>
      <c r="R9" s="29"/>
      <c r="S9" s="29"/>
      <c r="T9" s="29"/>
      <c r="U9" s="29"/>
      <c r="V9" s="29"/>
      <c r="W9" s="36"/>
      <c r="X9" s="36"/>
      <c r="Y9" s="36"/>
      <c r="Z9" s="29"/>
      <c r="AA9" s="29"/>
    </row>
    <row r="10" spans="1:27" ht="41.25" customHeight="1" x14ac:dyDescent="0.25">
      <c r="A10" s="40" t="str">
        <f>HYPERLINK("#'Task Description'!H1","Enable Jetson to perform mechanical action")</f>
        <v>Enable Jetson to perform mechanical action</v>
      </c>
      <c r="B10" s="29"/>
      <c r="C10" s="29"/>
      <c r="D10" s="29"/>
      <c r="E10" s="29"/>
      <c r="F10" s="29"/>
      <c r="G10" s="29"/>
      <c r="H10" s="30" t="s">
        <v>54</v>
      </c>
      <c r="I10" s="30" t="s">
        <v>54</v>
      </c>
      <c r="J10" s="29"/>
      <c r="K10" s="29"/>
      <c r="L10" s="29"/>
      <c r="M10" s="29"/>
      <c r="N10" s="29"/>
      <c r="O10" s="36"/>
      <c r="P10" s="36"/>
      <c r="Q10" s="29"/>
      <c r="R10" s="29"/>
      <c r="S10" s="29"/>
      <c r="T10" s="29"/>
      <c r="U10" s="29"/>
      <c r="V10" s="29"/>
      <c r="W10" s="36"/>
      <c r="X10" s="36"/>
      <c r="Y10" s="36"/>
      <c r="Z10" s="29"/>
      <c r="AA10" s="29"/>
    </row>
    <row r="11" spans="1:27" ht="41.25" customHeight="1" x14ac:dyDescent="0.25">
      <c r="A11" s="40" t="s">
        <v>80</v>
      </c>
      <c r="B11" s="29"/>
      <c r="C11" s="29"/>
      <c r="D11" s="29"/>
      <c r="E11" s="29"/>
      <c r="F11" s="29"/>
      <c r="G11" s="29"/>
      <c r="H11" s="30" t="s">
        <v>53</v>
      </c>
      <c r="I11" s="30" t="s">
        <v>53</v>
      </c>
      <c r="J11" s="29"/>
      <c r="K11" s="29"/>
      <c r="L11" s="29"/>
      <c r="M11" s="29"/>
      <c r="N11" s="29"/>
      <c r="O11" s="36"/>
      <c r="P11" s="36"/>
      <c r="Q11" s="29"/>
      <c r="R11" s="29"/>
      <c r="S11" s="29"/>
      <c r="T11" s="29"/>
      <c r="U11" s="29"/>
      <c r="V11" s="29"/>
      <c r="W11" s="36"/>
      <c r="X11" s="36"/>
      <c r="Y11" s="36"/>
      <c r="Z11" s="29"/>
      <c r="AA11" s="29"/>
    </row>
    <row r="12" spans="1:27" ht="40.5" customHeight="1" x14ac:dyDescent="0.25">
      <c r="A12" s="40" t="str">
        <f>HYPERLINK("#'Task Description'!I1","Develop Physical Arm")</f>
        <v>Develop Physical Arm</v>
      </c>
      <c r="B12" s="29"/>
      <c r="C12" s="29"/>
      <c r="D12" s="29"/>
      <c r="E12" s="29"/>
      <c r="F12" s="29"/>
      <c r="G12" s="29"/>
      <c r="H12" s="30" t="s">
        <v>55</v>
      </c>
      <c r="I12" s="30" t="s">
        <v>55</v>
      </c>
      <c r="J12" s="30" t="s">
        <v>55</v>
      </c>
      <c r="K12" s="30" t="s">
        <v>55</v>
      </c>
      <c r="L12" s="29"/>
      <c r="M12" s="29"/>
      <c r="N12" s="29"/>
      <c r="O12" s="36"/>
      <c r="P12" s="36"/>
      <c r="Q12" s="29"/>
      <c r="R12" s="29"/>
      <c r="S12" s="29"/>
      <c r="T12" s="29"/>
      <c r="U12" s="29"/>
      <c r="V12" s="29"/>
      <c r="W12" s="36"/>
      <c r="X12" s="36"/>
      <c r="Y12" s="36"/>
      <c r="Z12" s="29"/>
      <c r="AA12" s="29"/>
    </row>
    <row r="13" spans="1:27" ht="48.75" customHeight="1" x14ac:dyDescent="0.25">
      <c r="A13" s="40" t="str">
        <f>HYPERLINK("#'Task Description'!J1","Integrate pose estimation to app")</f>
        <v>Integrate pose estimation to app</v>
      </c>
      <c r="B13" s="29"/>
      <c r="C13" s="29"/>
      <c r="D13" s="29"/>
      <c r="E13" s="29"/>
      <c r="F13" s="29"/>
      <c r="G13" s="29"/>
      <c r="H13" s="29"/>
      <c r="I13" s="29"/>
      <c r="J13" s="29"/>
      <c r="K13" s="30" t="s">
        <v>60</v>
      </c>
      <c r="L13" s="30" t="s">
        <v>60</v>
      </c>
      <c r="M13" s="30" t="s">
        <v>60</v>
      </c>
      <c r="N13" s="30" t="s">
        <v>60</v>
      </c>
      <c r="O13" s="36"/>
      <c r="P13" s="36"/>
      <c r="Q13" s="29"/>
      <c r="R13" s="29"/>
      <c r="S13" s="29"/>
      <c r="T13" s="29"/>
      <c r="U13" s="29"/>
      <c r="V13" s="29"/>
      <c r="W13" s="36"/>
      <c r="X13" s="36"/>
      <c r="Y13" s="36"/>
      <c r="Z13" s="29"/>
      <c r="AA13" s="29"/>
    </row>
    <row r="14" spans="1:27" ht="51.75" customHeight="1" x14ac:dyDescent="0.25">
      <c r="A14" s="40" t="str">
        <f>HYPERLINK("#'Task Description'!K1","Integrate arm with Jetson (bare bones, disconnected from shoulder)")</f>
        <v>Integrate arm with Jetson (bare bones, disconnected from shoulder)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30" t="s">
        <v>54</v>
      </c>
      <c r="M14" s="30" t="s">
        <v>54</v>
      </c>
      <c r="N14" s="29"/>
      <c r="O14" s="36"/>
      <c r="P14" s="36"/>
      <c r="Q14" s="29"/>
      <c r="R14" s="29"/>
      <c r="S14" s="29"/>
      <c r="T14" s="29"/>
      <c r="U14" s="29"/>
      <c r="V14" s="29"/>
      <c r="W14" s="36"/>
      <c r="X14" s="36"/>
      <c r="Y14" s="36"/>
      <c r="Z14" s="29"/>
      <c r="AA14" s="29"/>
    </row>
    <row r="15" spans="1:27" ht="42.75" customHeight="1" x14ac:dyDescent="0.25">
      <c r="A15" s="41" t="str">
        <f>HYPERLINK("#'Task Description'!M1","Design shoulder to integrate real sense, arm and screen")</f>
        <v>Design shoulder to integrate real sense, arm and screen</v>
      </c>
      <c r="B15" s="31"/>
      <c r="C15" s="29"/>
      <c r="D15" s="29"/>
      <c r="E15" s="29"/>
      <c r="F15" s="29"/>
      <c r="G15" s="29"/>
      <c r="H15" s="29"/>
      <c r="I15" s="29"/>
      <c r="J15" s="29"/>
      <c r="K15" s="29"/>
      <c r="L15" s="30" t="s">
        <v>55</v>
      </c>
      <c r="M15" s="30" t="s">
        <v>55</v>
      </c>
      <c r="N15" s="30" t="s">
        <v>55</v>
      </c>
      <c r="O15" s="36"/>
      <c r="P15" s="36"/>
      <c r="Q15" s="30" t="s">
        <v>55</v>
      </c>
      <c r="R15" s="29"/>
      <c r="S15" s="29"/>
      <c r="T15" s="29"/>
      <c r="U15" s="29"/>
      <c r="V15" s="29"/>
      <c r="W15" s="36"/>
      <c r="X15" s="36"/>
      <c r="Y15" s="36"/>
      <c r="Z15" s="29"/>
      <c r="AA15" s="29"/>
    </row>
    <row r="16" spans="1:27" ht="29.25" customHeight="1" x14ac:dyDescent="0.25">
      <c r="A16" s="40" t="str">
        <f>HYPERLINK("#'Task Description'!L1","Change paddings of the robot")</f>
        <v>Change paddings of the robot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7"/>
      <c r="P16" s="37"/>
      <c r="Q16" s="30" t="s">
        <v>53</v>
      </c>
      <c r="R16" s="30" t="s">
        <v>53</v>
      </c>
      <c r="S16" s="32"/>
      <c r="T16" s="32"/>
      <c r="U16" s="32"/>
      <c r="V16" s="32"/>
      <c r="W16" s="37"/>
      <c r="X16" s="37"/>
      <c r="Y16" s="37"/>
      <c r="Z16" s="32"/>
      <c r="AA16" s="32"/>
    </row>
    <row r="17" spans="1:27" x14ac:dyDescent="0.25">
      <c r="A17" s="40" t="str">
        <f>HYPERLINK("#'Task Description'!O1","PCB design")</f>
        <v>PCB design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6"/>
      <c r="P17" s="36"/>
      <c r="Q17" s="30" t="s">
        <v>54</v>
      </c>
      <c r="R17" s="30" t="s">
        <v>54</v>
      </c>
      <c r="S17" s="30" t="s">
        <v>54</v>
      </c>
      <c r="T17" s="30" t="s">
        <v>54</v>
      </c>
      <c r="U17" s="29"/>
      <c r="V17" s="29"/>
      <c r="W17" s="36"/>
      <c r="X17" s="36"/>
      <c r="Y17" s="36"/>
      <c r="Z17" s="34"/>
      <c r="AA17" s="35"/>
    </row>
    <row r="18" spans="1:27" x14ac:dyDescent="0.25">
      <c r="A18" s="40" t="str">
        <f>HYPERLINK("#'Task Description'!P1","Build shoulder")</f>
        <v>Build shoulder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6"/>
      <c r="P18" s="36"/>
      <c r="Q18" s="29"/>
      <c r="R18" s="30" t="s">
        <v>55</v>
      </c>
      <c r="S18" s="30" t="s">
        <v>55</v>
      </c>
      <c r="T18" s="30" t="s">
        <v>55</v>
      </c>
      <c r="U18" s="29"/>
      <c r="V18" s="29"/>
      <c r="W18" s="36"/>
      <c r="X18" s="36"/>
      <c r="Y18" s="36"/>
      <c r="Z18" s="34"/>
      <c r="AA18" s="35"/>
    </row>
    <row r="19" spans="1:27" ht="25.5" customHeight="1" x14ac:dyDescent="0.25">
      <c r="A19" s="40" t="str">
        <f>HYPERLINK("#'Task Description'!Q1","Assemble upper")</f>
        <v>Assemble upper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36"/>
      <c r="P19" s="36"/>
      <c r="Q19" s="29"/>
      <c r="R19" s="29"/>
      <c r="S19" s="29"/>
      <c r="T19" s="29"/>
      <c r="U19" s="30" t="s">
        <v>58</v>
      </c>
      <c r="V19" s="30" t="s">
        <v>58</v>
      </c>
      <c r="W19" s="36"/>
      <c r="X19" s="36"/>
      <c r="Y19" s="36"/>
      <c r="Z19" s="34"/>
      <c r="AA19" s="35"/>
    </row>
    <row r="20" spans="1:27" x14ac:dyDescent="0.25"/>
    <row r="21" spans="1:27" x14ac:dyDescent="0.25"/>
    <row r="22" spans="1:27" x14ac:dyDescent="0.25"/>
    <row r="23" spans="1:27" x14ac:dyDescent="0.25"/>
  </sheetData>
  <mergeCells count="9">
    <mergeCell ref="X1:AA1"/>
    <mergeCell ref="A1:A2"/>
    <mergeCell ref="X2:Y2"/>
    <mergeCell ref="B1:C1"/>
    <mergeCell ref="D1:G1"/>
    <mergeCell ref="H1:K1"/>
    <mergeCell ref="L1:O1"/>
    <mergeCell ref="P1:S1"/>
    <mergeCell ref="T1:W1"/>
  </mergeCells>
  <phoneticPr fontId="8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6E823-B65E-40FD-AC94-5326D6EA8B8C}">
  <dimension ref="A1:Q1"/>
  <sheetViews>
    <sheetView workbookViewId="0">
      <selection activeCell="F1" sqref="F1"/>
    </sheetView>
  </sheetViews>
  <sheetFormatPr defaultRowHeight="15" x14ac:dyDescent="0.25"/>
  <cols>
    <col min="1" max="17" width="23.42578125" style="28" customWidth="1"/>
  </cols>
  <sheetData>
    <row r="1" spans="1:17" ht="60" x14ac:dyDescent="0.25">
      <c r="A1" s="42" t="s">
        <v>33</v>
      </c>
      <c r="B1" s="42" t="s">
        <v>34</v>
      </c>
      <c r="C1" s="42" t="s">
        <v>79</v>
      </c>
      <c r="D1" s="42" t="s">
        <v>35</v>
      </c>
      <c r="E1" s="42" t="s">
        <v>78</v>
      </c>
      <c r="F1" s="42" t="s">
        <v>36</v>
      </c>
      <c r="G1" s="42" t="s">
        <v>37</v>
      </c>
      <c r="H1" s="42" t="s">
        <v>39</v>
      </c>
      <c r="I1" s="42" t="s">
        <v>38</v>
      </c>
      <c r="J1" s="42" t="s">
        <v>59</v>
      </c>
      <c r="K1" s="42" t="s">
        <v>41</v>
      </c>
      <c r="L1" s="42" t="s">
        <v>42</v>
      </c>
      <c r="M1" s="43" t="s">
        <v>43</v>
      </c>
      <c r="N1" s="42" t="s">
        <v>40</v>
      </c>
      <c r="O1" s="42" t="s">
        <v>57</v>
      </c>
      <c r="P1" s="42" t="s">
        <v>44</v>
      </c>
      <c r="Q1" s="42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5615753B5CCD43966271C4BDE5B13C" ma:contentTypeVersion="12" ma:contentTypeDescription="Create a new document." ma:contentTypeScope="" ma:versionID="a7a0310a1b61fd52c1b61fdef5370e21">
  <xsd:schema xmlns:xsd="http://www.w3.org/2001/XMLSchema" xmlns:xs="http://www.w3.org/2001/XMLSchema" xmlns:p="http://schemas.microsoft.com/office/2006/metadata/properties" xmlns:ns2="49548318-0a7b-4d65-bc43-907c956e523a" xmlns:ns3="c9422598-6492-471d-9d1f-9c77f43a94f7" targetNamespace="http://schemas.microsoft.com/office/2006/metadata/properties" ma:root="true" ma:fieldsID="d27f1e7c0d53e3f6c4f9ad87053b15c6" ns2:_="" ns3:_="">
    <xsd:import namespace="49548318-0a7b-4d65-bc43-907c956e523a"/>
    <xsd:import namespace="c9422598-6492-471d-9d1f-9c77f43a9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8318-0a7b-4d65-bc43-907c956e5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22598-6492-471d-9d1f-9c77f43a94f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af673d-7196-4f99-b5ca-d94ad85403b2}" ma:internalName="TaxCatchAll" ma:showField="CatchAllData" ma:web="c9422598-6492-471d-9d1f-9c77f43a94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422598-6492-471d-9d1f-9c77f43a94f7" xsi:nil="true"/>
    <lcf76f155ced4ddcb4097134ff3c332f xmlns="49548318-0a7b-4d65-bc43-907c956e52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E2495D-CA52-460F-9FBF-F749170891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421A7F-8A68-4595-912A-504298606B89}"/>
</file>

<file path=customXml/itemProps3.xml><?xml version="1.0" encoding="utf-8"?>
<ds:datastoreItem xmlns:ds="http://schemas.openxmlformats.org/officeDocument/2006/customXml" ds:itemID="{7EC00897-F1EC-444E-94C3-CC64B32B49D9}">
  <ds:schemaRefs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548318-0a7b-4d65-bc43-907c956e523a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 Do 2025 Timeline</vt:lpstr>
      <vt:lpstr>Task Description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Zakir Haziq Bin Mohd Padzal</cp:lastModifiedBy>
  <cp:revision/>
  <dcterms:created xsi:type="dcterms:W3CDTF">2025-05-09T08:43:19Z</dcterms:created>
  <dcterms:modified xsi:type="dcterms:W3CDTF">2025-06-22T08:53:59Z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0x010100065615753B5CCD43966271C4BDE5B13C</vt:lpwstr>
  </property>
</Properties>
</file>