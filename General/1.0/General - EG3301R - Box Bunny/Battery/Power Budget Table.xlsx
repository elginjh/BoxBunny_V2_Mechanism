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EG3301R-BoxBunny/Shared Documents/General/Battery/"/>
    </mc:Choice>
  </mc:AlternateContent>
  <xr:revisionPtr revIDLastSave="382" documentId="13_ncr:1_{05632F36-1BEF-4A48-B367-4C2D8A2D8A59}" xr6:coauthVersionLast="47" xr6:coauthVersionMax="47" xr10:uidLastSave="{67873A00-33AF-4461-B1F8-DF6F73D1E133}"/>
  <bookViews>
    <workbookView xWindow="-98" yWindow="-98" windowWidth="21795" windowHeight="13695" xr2:uid="{8F825C14-BF9A-49B1-A1D1-C7B20F2FA76D}"/>
  </bookViews>
  <sheets>
    <sheet name="Final Table" sheetId="1" r:id="rId1"/>
    <sheet name="Runtime Calculation" sheetId="3" r:id="rId2"/>
    <sheet name="Miscellaneous" sheetId="5" r:id="rId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C12" i="5"/>
  <c r="E12" i="5" s="1"/>
  <c r="G12" i="5" s="1"/>
  <c r="E11" i="5"/>
  <c r="G11" i="5" s="1"/>
  <c r="E9" i="5"/>
  <c r="G9" i="5" s="1"/>
  <c r="E8" i="5"/>
  <c r="G8" i="5" s="1"/>
  <c r="E6" i="5"/>
  <c r="G6" i="5" s="1"/>
  <c r="E5" i="5"/>
  <c r="G5" i="5" s="1"/>
  <c r="E4" i="5"/>
  <c r="G4" i="5" s="1"/>
  <c r="G14" i="5" s="1"/>
  <c r="H43" i="3"/>
  <c r="F43" i="3"/>
  <c r="D43" i="3"/>
  <c r="B43" i="3"/>
  <c r="J33" i="3"/>
  <c r="J31" i="3"/>
  <c r="J32" i="3" s="1"/>
  <c r="G9" i="1"/>
  <c r="E13" i="1"/>
  <c r="G13" i="1" s="1"/>
  <c r="E11" i="1"/>
  <c r="G11" i="1" s="1"/>
  <c r="E10" i="1"/>
  <c r="G10" i="1" s="1"/>
  <c r="E7" i="1"/>
  <c r="G7" i="1" s="1"/>
  <c r="E6" i="1"/>
  <c r="G6" i="1" s="1"/>
  <c r="E5" i="1"/>
  <c r="G5" i="1" s="1"/>
  <c r="J43" i="3" l="1"/>
  <c r="G15" i="1"/>
</calcChain>
</file>

<file path=xl/sharedStrings.xml><?xml version="1.0" encoding="utf-8"?>
<sst xmlns="http://schemas.openxmlformats.org/spreadsheetml/2006/main" count="212" uniqueCount="156">
  <si>
    <t>For our main battery of 24V with 10Ah current rating:</t>
  </si>
  <si>
    <t>Components</t>
  </si>
  <si>
    <t>Quantity</t>
  </si>
  <si>
    <t>Current /A</t>
  </si>
  <si>
    <t>Voltage /V</t>
  </si>
  <si>
    <t>Power /W</t>
  </si>
  <si>
    <t>Runtime /s</t>
  </si>
  <si>
    <t>Energy Required /Wh</t>
  </si>
  <si>
    <t>Raspberry Pi 5</t>
  </si>
  <si>
    <t>Arduino Mega (Shoulder)</t>
  </si>
  <si>
    <r>
      <t xml:space="preserve">We need this to last for at least </t>
    </r>
    <r>
      <rPr>
        <b/>
        <sz val="10"/>
        <color rgb="FF000000"/>
        <rFont val="Arial"/>
        <family val="2"/>
        <scheme val="minor"/>
      </rPr>
      <t>30 mins</t>
    </r>
    <r>
      <rPr>
        <sz val="10"/>
        <color rgb="FF000000"/>
        <rFont val="Arial"/>
        <scheme val="minor"/>
      </rPr>
      <t xml:space="preserve"> (0.5 hrs, 1800 sec)</t>
    </r>
  </si>
  <si>
    <t>Arduino Mega (Base)</t>
  </si>
  <si>
    <t>Arm Servo Motor (surge)</t>
  </si>
  <si>
    <t>Touchscreen (surge)</t>
  </si>
  <si>
    <t>Wheel Motors + Drivers (typical)</t>
  </si>
  <si>
    <t>Wheel Motors + Drivers (surge)</t>
  </si>
  <si>
    <t xml:space="preserve">Total /Wh: </t>
  </si>
  <si>
    <t>total current limit: 2.7A x4 = 10.8A</t>
  </si>
  <si>
    <t>MAX SPEED (440rpm)</t>
  </si>
  <si>
    <t>OUR MAX SPEED (220rpm)</t>
  </si>
  <si>
    <t>total current load: 3.2A</t>
  </si>
  <si>
    <t>total current limit: 3.2*120% = 3.84A = 4A</t>
  </si>
  <si>
    <t>wheels x4 with 40-50kg load (motor + driver)</t>
  </si>
  <si>
    <t>left/right pivot</t>
  </si>
  <si>
    <t>total current load: 2.55A</t>
  </si>
  <si>
    <t>110rpm (1/4 of 440rpm)</t>
  </si>
  <si>
    <t>0.5m distance</t>
  </si>
  <si>
    <t>total current load: 3.35A</t>
  </si>
  <si>
    <t>1.0s</t>
  </si>
  <si>
    <t>0.5s</t>
  </si>
  <si>
    <t>Worst Case Scenario:</t>
  </si>
  <si>
    <t>Combo Mode</t>
  </si>
  <si>
    <t>Sparring Mode</t>
  </si>
  <si>
    <t>Wheels</t>
  </si>
  <si>
    <t>Mode Type</t>
  </si>
  <si>
    <t>Rounds</t>
  </si>
  <si>
    <t>Footwork</t>
  </si>
  <si>
    <t>ON</t>
  </si>
  <si>
    <t>Timer</t>
  </si>
  <si>
    <t>Level</t>
  </si>
  <si>
    <t>Rest</t>
  </si>
  <si>
    <t>Punches</t>
  </si>
  <si>
    <t>Counter</t>
  </si>
  <si>
    <t>-</t>
  </si>
  <si>
    <t>Arm</t>
  </si>
  <si>
    <t>3 (more variations of randomness = more processing power)</t>
  </si>
  <si>
    <t>110rpm</t>
  </si>
  <si>
    <t>w/ Full Load</t>
  </si>
  <si>
    <t>220rpm</t>
  </si>
  <si>
    <r>
      <t>Left/Right Pivot (20</t>
    </r>
    <r>
      <rPr>
        <sz val="10"/>
        <color rgb="FF000000"/>
        <rFont val="Aptos Narrow"/>
        <family val="2"/>
      </rPr>
      <t>°</t>
    </r>
    <r>
      <rPr>
        <sz val="10"/>
        <color rgb="FF000000"/>
        <rFont val="Arial"/>
        <family val="2"/>
        <scheme val="minor"/>
      </rPr>
      <t>)</t>
    </r>
  </si>
  <si>
    <t>Movement (2m)</t>
  </si>
  <si>
    <t>3mins</t>
  </si>
  <si>
    <t>4s</t>
  </si>
  <si>
    <t>ON (more processing power)</t>
  </si>
  <si>
    <t>Total Runtime:</t>
  </si>
  <si>
    <t>**Wheels use more power as compared to arms.</t>
  </si>
  <si>
    <t>8 combos</t>
  </si>
  <si>
    <t>WORST CASE SCENARIO</t>
  </si>
  <si>
    <t>max instantaneous current --&gt; suitable AWG wire size</t>
  </si>
  <si>
    <t>**Total power drawn of our components must stay under 480W to ensure at least 30 mins of operation.</t>
  </si>
  <si>
    <t>1min</t>
  </si>
  <si>
    <t>|-&gt; Have accounted for 12 rounds</t>
  </si>
  <si>
    <t>0.4s</t>
  </si>
  <si>
    <t>Left/Right Pivot (20°)</t>
  </si>
  <si>
    <t>Speed (of one)</t>
  </si>
  <si>
    <t>3.2s</t>
  </si>
  <si>
    <t>3.2s*12 rounds*(180/3.2s)</t>
  </si>
  <si>
    <t>4s*12 rounds*(180/4s)</t>
  </si>
  <si>
    <t>0.4s per actuation*(180/0.4)*12 rounds</t>
  </si>
  <si>
    <t>4s*12 rounds*(180/4)</t>
  </si>
  <si>
    <t>Countdown (Wearing Glove)</t>
  </si>
  <si>
    <t>15s</t>
  </si>
  <si>
    <t>|-&gt; Countdown once before 1st round starts</t>
  </si>
  <si>
    <t>TOTAL RUNTIME: ~50mins</t>
  </si>
  <si>
    <t>|-&gt; allowance for settings selection time</t>
  </si>
  <si>
    <r>
      <t xml:space="preserve">We need this to last for at least </t>
    </r>
    <r>
      <rPr>
        <b/>
        <sz val="10"/>
        <color rgb="FF000000"/>
        <rFont val="Arial"/>
        <family val="2"/>
        <scheme val="minor"/>
      </rPr>
      <t>50 mins</t>
    </r>
    <r>
      <rPr>
        <sz val="10"/>
        <color rgb="FF000000"/>
        <rFont val="Arial"/>
        <scheme val="minor"/>
      </rPr>
      <t xml:space="preserve"> (0.83 hrs, 3000 sec) based on </t>
    </r>
    <r>
      <rPr>
        <b/>
        <sz val="10"/>
        <color rgb="FF000000"/>
        <rFont val="Arial"/>
        <family val="2"/>
        <scheme val="minor"/>
      </rPr>
      <t>WORST CASE SCENARIO</t>
    </r>
  </si>
  <si>
    <t>**Total power drawn of our components must stay under 290W to ensure at least 50 mins of operation.</t>
  </si>
  <si>
    <t>Arduino Mega 2560 R3 (Shoulder)</t>
  </si>
  <si>
    <t>Arduino Mega 2560 R3 (Base)</t>
  </si>
  <si>
    <t>Robot (Powered by 290 Wh)</t>
  </si>
  <si>
    <t>*2.5A (rated)</t>
  </si>
  <si>
    <t>&lt; 290 Wh</t>
  </si>
  <si>
    <t>Component</t>
  </si>
  <si>
    <t>Qty.</t>
  </si>
  <si>
    <t>Purpose</t>
  </si>
  <si>
    <t>Voltage</t>
  </si>
  <si>
    <t>Current</t>
  </si>
  <si>
    <t>Rated = Used</t>
  </si>
  <si>
    <t>Rated</t>
  </si>
  <si>
    <t>Used</t>
  </si>
  <si>
    <t>x1</t>
  </si>
  <si>
    <r>
      <t>•</t>
    </r>
    <r>
      <rPr>
        <sz val="11"/>
        <color rgb="FF000000"/>
        <rFont val="Aptos"/>
      </rPr>
      <t xml:space="preserve">Communicator between two Arduinos. </t>
    </r>
  </si>
  <si>
    <r>
      <t>•</t>
    </r>
    <r>
      <rPr>
        <sz val="11"/>
        <color rgb="FF000000"/>
        <rFont val="Aptos"/>
      </rPr>
      <t xml:space="preserve">Contains main programme of </t>
    </r>
    <r>
      <rPr>
        <sz val="11"/>
        <color rgb="FFC00000"/>
        <rFont val="Aptos"/>
      </rPr>
      <t xml:space="preserve">decision matrix </t>
    </r>
    <r>
      <rPr>
        <sz val="11"/>
        <color rgb="FF000000"/>
        <rFont val="Aptos"/>
      </rPr>
      <t xml:space="preserve">&amp; </t>
    </r>
    <r>
      <rPr>
        <sz val="11"/>
        <color rgb="FFC00000"/>
        <rFont val="Aptos"/>
      </rPr>
      <t>activating shoulder + wheels</t>
    </r>
    <r>
      <rPr>
        <sz val="11"/>
        <color rgb="FF000000"/>
        <rFont val="Aptos"/>
      </rPr>
      <t xml:space="preserve"> according to </t>
    </r>
    <r>
      <rPr>
        <sz val="11"/>
        <color rgb="FFC00000"/>
        <rFont val="Aptos"/>
      </rPr>
      <t>user input on touchscreen + PixyCam</t>
    </r>
    <r>
      <rPr>
        <sz val="11"/>
        <color rgb="FF000000"/>
        <rFont val="Aptos"/>
      </rPr>
      <t>.</t>
    </r>
  </si>
  <si>
    <r>
      <t>•</t>
    </r>
    <r>
      <rPr>
        <sz val="11"/>
        <color rgb="FF156082"/>
        <rFont val="Aptos"/>
      </rPr>
      <t>Powered by Lithium Ion Battery through a 5V buck converter (step-down).</t>
    </r>
  </si>
  <si>
    <t>Combo/ Sparring</t>
  </si>
  <si>
    <t>5V</t>
  </si>
  <si>
    <t>Current Capacity: 5A</t>
  </si>
  <si>
    <r>
      <t>à</t>
    </r>
    <r>
      <rPr>
        <sz val="11"/>
        <color rgb="FF000000"/>
        <rFont val="Aptos"/>
      </rPr>
      <t>USB Peripherals: 1.6A</t>
    </r>
  </si>
  <si>
    <r>
      <t>à</t>
    </r>
    <r>
      <rPr>
        <sz val="11"/>
        <color rgb="FF000000"/>
        <rFont val="Aptos"/>
      </rPr>
      <t>HDMI Port: 50mA (0.05A)</t>
    </r>
  </si>
  <si>
    <t>Operation: 0.4~0.9A</t>
  </si>
  <si>
    <t>1A + 1.6A =</t>
  </si>
  <si>
    <t>2.6A</t>
  </si>
  <si>
    <t>x2</t>
  </si>
  <si>
    <r>
      <t>•</t>
    </r>
    <r>
      <rPr>
        <sz val="11"/>
        <color rgb="FF000000"/>
        <rFont val="Aptos"/>
      </rPr>
      <t>To control shoulder assembly (arm motors x4; touchscreen; PixyCam).</t>
    </r>
  </si>
  <si>
    <r>
      <t>•</t>
    </r>
    <r>
      <rPr>
        <sz val="11"/>
        <color rgb="FF156082"/>
        <rFont val="Aptos"/>
      </rPr>
      <t>Powering up: Camera.</t>
    </r>
  </si>
  <si>
    <r>
      <t xml:space="preserve">Input: </t>
    </r>
    <r>
      <rPr>
        <i/>
        <sz val="11"/>
        <color rgb="FF000000"/>
        <rFont val="Aptos"/>
      </rPr>
      <t>1A*</t>
    </r>
  </si>
  <si>
    <r>
      <t xml:space="preserve">GPIO Pins: </t>
    </r>
    <r>
      <rPr>
        <i/>
        <sz val="11"/>
        <color rgb="FF000000"/>
        <rFont val="Aptos"/>
      </rPr>
      <t>20mA/pin</t>
    </r>
  </si>
  <si>
    <t xml:space="preserve">Operation: </t>
  </si>
  <si>
    <t>0.08A</t>
  </si>
  <si>
    <t>0.1A</t>
  </si>
  <si>
    <r>
      <t>•</t>
    </r>
    <r>
      <rPr>
        <sz val="11"/>
        <color rgb="FF000000"/>
        <rFont val="Aptos"/>
      </rPr>
      <t xml:space="preserve">To control wheels + motor drivers. </t>
    </r>
  </si>
  <si>
    <t>PixyCam2</t>
  </si>
  <si>
    <r>
      <t>•</t>
    </r>
    <r>
      <rPr>
        <sz val="11"/>
        <color rgb="FF156082"/>
        <rFont val="Aptos"/>
      </rPr>
      <t xml:space="preserve">Powered by Arduino. </t>
    </r>
  </si>
  <si>
    <t>Sparring</t>
  </si>
  <si>
    <t xml:space="preserve">Typical (Spec): </t>
  </si>
  <si>
    <t>140mA = 0.14A</t>
  </si>
  <si>
    <t>0.2A</t>
  </si>
  <si>
    <t>HDMI LCD Touchscreen</t>
  </si>
  <si>
    <r>
      <t>•</t>
    </r>
    <r>
      <rPr>
        <sz val="11"/>
        <color rgb="FF156082"/>
        <rFont val="Aptos"/>
      </rPr>
      <t>Powered by Arduino.</t>
    </r>
  </si>
  <si>
    <t>500mA = 0.5A</t>
  </si>
  <si>
    <t>DSSERVO RDS3235 Servo Motor</t>
  </si>
  <si>
    <t>x4</t>
  </si>
  <si>
    <r>
      <t>•</t>
    </r>
    <r>
      <rPr>
        <sz val="11"/>
        <color rgb="FF000000"/>
        <rFont val="Aptos"/>
      </rPr>
      <t>To be activated as needed according to the programme in Rpi.</t>
    </r>
  </si>
  <si>
    <r>
      <t>•</t>
    </r>
    <r>
      <rPr>
        <sz val="11"/>
        <color rgb="FF156082"/>
        <rFont val="Aptos"/>
      </rPr>
      <t>Powered by Lithium Ion Battery.</t>
    </r>
  </si>
  <si>
    <t>Individual (x1)</t>
  </si>
  <si>
    <r>
      <t>•</t>
    </r>
    <r>
      <rPr>
        <sz val="11"/>
        <color rgb="FF000000"/>
        <rFont val="Aptos"/>
      </rPr>
      <t>w/ Full Load (mounted on assembly + Arm)</t>
    </r>
  </si>
  <si>
    <r>
      <t>•</t>
    </r>
    <r>
      <rPr>
        <sz val="11"/>
        <color rgb="FF000000"/>
        <rFont val="Aptos"/>
      </rPr>
      <t>Full 90° rotation</t>
    </r>
  </si>
  <si>
    <r>
      <t>•</t>
    </r>
    <r>
      <rPr>
        <sz val="11"/>
        <color rgb="FF000000"/>
        <rFont val="Aptos"/>
      </rPr>
      <t>Poor stability in mounting design</t>
    </r>
  </si>
  <si>
    <r>
      <t>•</t>
    </r>
    <r>
      <rPr>
        <sz val="11"/>
        <color rgb="FF000000"/>
        <rFont val="Aptos"/>
      </rPr>
      <t>Customised Settings: [Fastest speed]</t>
    </r>
  </si>
  <si>
    <r>
      <t>Runtime:</t>
    </r>
    <r>
      <rPr>
        <sz val="11"/>
        <color rgb="FF000000"/>
        <rFont val="Aptos"/>
      </rPr>
      <t xml:space="preserve"> [One Punch] 0.69s</t>
    </r>
  </si>
  <si>
    <t>7.4V</t>
  </si>
  <si>
    <t>Peak Current: 1.15A</t>
  </si>
  <si>
    <t>1.6A</t>
  </si>
  <si>
    <r>
      <t>•</t>
    </r>
    <r>
      <rPr>
        <sz val="11"/>
        <color rgb="FF000000"/>
        <rFont val="Aptos"/>
      </rPr>
      <t>w/ Partial Load (mounted on assembly)</t>
    </r>
  </si>
  <si>
    <r>
      <t>•</t>
    </r>
    <r>
      <rPr>
        <sz val="11"/>
        <color rgb="FF000000"/>
        <rFont val="Aptos"/>
      </rPr>
      <t>Better stability in mounting design</t>
    </r>
  </si>
  <si>
    <r>
      <t>•</t>
    </r>
    <r>
      <rPr>
        <sz val="11"/>
        <color rgb="FF000000"/>
        <rFont val="Aptos"/>
      </rPr>
      <t>Customised Settings: [Slowest speed]</t>
    </r>
  </si>
  <si>
    <r>
      <t>Runtime:</t>
    </r>
    <r>
      <rPr>
        <sz val="11"/>
        <color rgb="FF000000"/>
        <rFont val="Aptos"/>
      </rPr>
      <t xml:space="preserve"> [One Punch] 0.94s</t>
    </r>
  </si>
  <si>
    <t>Peak Current: 0.732A</t>
  </si>
  <si>
    <t>0.9A</t>
  </si>
  <si>
    <t>Combo</t>
  </si>
  <si>
    <t>Operational (x4 in Parallel)**</t>
  </si>
  <si>
    <r>
      <t>•</t>
    </r>
    <r>
      <rPr>
        <sz val="11"/>
        <color rgb="FF000000"/>
        <rFont val="Aptos"/>
      </rPr>
      <t>Partial rotation deg (delay() code)</t>
    </r>
  </si>
  <si>
    <r>
      <t>•</t>
    </r>
    <r>
      <rPr>
        <sz val="11"/>
        <color rgb="FF000000"/>
        <rFont val="Aptos"/>
      </rPr>
      <t>No. of Combo: 6</t>
    </r>
  </si>
  <si>
    <r>
      <t>•</t>
    </r>
    <r>
      <rPr>
        <sz val="11"/>
        <color rgb="FF000000"/>
        <rFont val="Aptos"/>
      </rPr>
      <t>No. of Combo round: 1</t>
    </r>
  </si>
  <si>
    <r>
      <t>Runtime:</t>
    </r>
    <r>
      <rPr>
        <sz val="11"/>
        <color rgb="FF000000"/>
        <rFont val="Aptos"/>
      </rPr>
      <t xml:space="preserve"> 1.73s</t>
    </r>
  </si>
  <si>
    <t>Peak Current: 0.777A</t>
  </si>
  <si>
    <t>1.0A</t>
  </si>
  <si>
    <t>Arduino Mega 2560 R3 (Shoulder, Base)</t>
  </si>
  <si>
    <r>
      <t>•</t>
    </r>
    <r>
      <rPr>
        <sz val="11"/>
        <color rgb="FF156082"/>
        <rFont val="Aptos"/>
      </rPr>
      <t>Powered by by Lithium Ion Battery through a 5V buck converter (step-down).</t>
    </r>
  </si>
  <si>
    <r>
      <t>•</t>
    </r>
    <r>
      <rPr>
        <sz val="11"/>
        <color rgb="FF156082"/>
        <rFont val="Aptos"/>
      </rPr>
      <t>Powering up: Touchscreen</t>
    </r>
  </si>
  <si>
    <t>Duration [Total Duration: 50mins]</t>
  </si>
  <si>
    <t>3000s</t>
  </si>
  <si>
    <t>*0.5A (rated)</t>
  </si>
  <si>
    <t>*0.1A (rated)</t>
  </si>
  <si>
    <t>Touchscreen (typical)</t>
  </si>
  <si>
    <t>Camera (typical)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</si>
</sst>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0"/>
      <color rgb="FF000000"/>
      <name val="Aptos Narrow"/>
      <family val="2"/>
    </font>
    <font>
      <b/>
      <i/>
      <sz val="10"/>
      <color rgb="FF000000"/>
      <name val="Arial"/>
      <family val="2"/>
      <scheme val="minor"/>
    </font>
    <font>
      <b/>
      <sz val="20"/>
      <color theme="0"/>
      <name val="Arial"/>
      <family val="2"/>
      <scheme val="minor"/>
    </font>
    <font>
      <sz val="18"/>
      <name val="Arial"/>
      <scheme val="minor"/>
    </font>
    <font>
      <b/>
      <sz val="12"/>
      <color rgb="FFFFFFFF"/>
      <name val="Aptos"/>
    </font>
    <font>
      <b/>
      <sz val="11"/>
      <color rgb="FFFFFFFF"/>
      <name val="Aptos"/>
    </font>
    <font>
      <sz val="11"/>
      <color rgb="FF000000"/>
      <name val="Aptos"/>
    </font>
    <font>
      <sz val="11"/>
      <name val="Arial"/>
      <scheme val="minor"/>
    </font>
    <font>
      <sz val="11"/>
      <color rgb="FFC00000"/>
      <name val="Aptos"/>
    </font>
    <font>
      <sz val="11"/>
      <color rgb="FF156082"/>
      <name val="Aptos"/>
    </font>
    <font>
      <sz val="11"/>
      <name val="Wingdings"/>
    </font>
    <font>
      <b/>
      <sz val="11"/>
      <color rgb="FF000000"/>
      <name val="Aptos"/>
    </font>
    <font>
      <i/>
      <sz val="11"/>
      <color rgb="FF000000"/>
      <name val="Aptos"/>
    </font>
    <font>
      <u/>
      <sz val="11"/>
      <color rgb="FF000000"/>
      <name val="Aptos"/>
    </font>
    <font>
      <sz val="11"/>
      <color rgb="FF000000"/>
      <name val="Aptos"/>
      <family val="2"/>
    </font>
    <font>
      <sz val="11"/>
      <name val="Arial"/>
      <family val="2"/>
      <scheme val="minor"/>
    </font>
    <font>
      <b/>
      <sz val="12"/>
      <color rgb="FFFFFFFF"/>
      <name val="Aptos"/>
      <family val="2"/>
    </font>
    <font>
      <sz val="18"/>
      <name val="Arial"/>
      <family val="2"/>
      <scheme val="minor"/>
    </font>
    <font>
      <sz val="18"/>
      <color rgb="FF000000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0" fontId="1" fillId="4" borderId="0" xfId="0" applyFont="1" applyFill="1"/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/>
    <xf numFmtId="0" fontId="4" fillId="3" borderId="0" xfId="0" applyFont="1" applyFill="1"/>
    <xf numFmtId="0" fontId="0" fillId="0" borderId="0" xfId="0" applyAlignment="1">
      <alignment horizontal="left"/>
    </xf>
    <xf numFmtId="0" fontId="2" fillId="3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4" fillId="0" borderId="0" xfId="0" applyFont="1"/>
    <xf numFmtId="0" fontId="5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" fontId="4" fillId="0" borderId="0" xfId="0" applyNumberFormat="1" applyFont="1"/>
    <xf numFmtId="0" fontId="4" fillId="0" borderId="11" xfId="0" applyFont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2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4" fontId="0" fillId="4" borderId="0" xfId="0" applyNumberForma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4" fontId="2" fillId="0" borderId="0" xfId="0" applyNumberFormat="1" applyFont="1" applyAlignment="1">
      <alignment horizontal="center" vertical="center"/>
    </xf>
    <xf numFmtId="0" fontId="4" fillId="5" borderId="9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9" borderId="1" xfId="0" applyFont="1" applyFill="1" applyBorder="1" applyAlignment="1">
      <alignment wrapText="1"/>
    </xf>
    <xf numFmtId="0" fontId="4" fillId="0" borderId="0" xfId="0" applyFont="1" applyAlignment="1">
      <alignment vertical="top"/>
    </xf>
    <xf numFmtId="0" fontId="13" fillId="10" borderId="14" xfId="0" applyFont="1" applyFill="1" applyBorder="1" applyAlignment="1">
      <alignment horizontal="center" vertical="center" wrapText="1" readingOrder="1"/>
    </xf>
    <xf numFmtId="0" fontId="13" fillId="10" borderId="19" xfId="0" applyFont="1" applyFill="1" applyBorder="1" applyAlignment="1">
      <alignment horizontal="center" vertical="center" wrapText="1" readingOrder="1"/>
    </xf>
    <xf numFmtId="0" fontId="13" fillId="10" borderId="20" xfId="0" applyFont="1" applyFill="1" applyBorder="1" applyAlignment="1">
      <alignment horizontal="center" vertical="center" wrapText="1" readingOrder="1"/>
    </xf>
    <xf numFmtId="0" fontId="16" fillId="12" borderId="21" xfId="0" applyFont="1" applyFill="1" applyBorder="1" applyAlignment="1">
      <alignment horizontal="left" vertical="center" wrapText="1" indent="1" readingOrder="1"/>
    </xf>
    <xf numFmtId="0" fontId="16" fillId="12" borderId="22" xfId="0" applyFont="1" applyFill="1" applyBorder="1" applyAlignment="1">
      <alignment horizontal="left" vertical="center" wrapText="1" indent="1" readingOrder="1"/>
    </xf>
    <xf numFmtId="0" fontId="15" fillId="11" borderId="15" xfId="0" applyFont="1" applyFill="1" applyBorder="1" applyAlignment="1">
      <alignment horizontal="center" vertical="center" wrapText="1" readingOrder="1"/>
    </xf>
    <xf numFmtId="0" fontId="15" fillId="12" borderId="15" xfId="0" applyFont="1" applyFill="1" applyBorder="1" applyAlignment="1">
      <alignment horizontal="left" vertical="center" wrapText="1" readingOrder="1"/>
    </xf>
    <xf numFmtId="0" fontId="19" fillId="12" borderId="22" xfId="0" applyFont="1" applyFill="1" applyBorder="1" applyAlignment="1">
      <alignment horizontal="left" vertical="center" wrapText="1" indent="1" readingOrder="1"/>
    </xf>
    <xf numFmtId="0" fontId="12" fillId="12" borderId="22" xfId="0" applyFont="1" applyFill="1" applyBorder="1" applyAlignment="1">
      <alignment vertical="center" wrapText="1"/>
    </xf>
    <xf numFmtId="0" fontId="20" fillId="11" borderId="22" xfId="0" applyFont="1" applyFill="1" applyBorder="1" applyAlignment="1">
      <alignment horizontal="center" vertical="center" wrapText="1" readingOrder="1"/>
    </xf>
    <xf numFmtId="0" fontId="0" fillId="11" borderId="22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0" fontId="16" fillId="12" borderId="15" xfId="0" applyFont="1" applyFill="1" applyBorder="1" applyAlignment="1">
      <alignment horizontal="left" vertical="center" wrapText="1" indent="1" readingOrder="1"/>
    </xf>
    <xf numFmtId="0" fontId="16" fillId="12" borderId="23" xfId="0" applyFont="1" applyFill="1" applyBorder="1" applyAlignment="1">
      <alignment horizontal="left" vertical="center" wrapText="1" indent="1" readingOrder="1"/>
    </xf>
    <xf numFmtId="0" fontId="15" fillId="12" borderId="15" xfId="0" applyFont="1" applyFill="1" applyBorder="1" applyAlignment="1">
      <alignment horizontal="center" vertical="center" wrapText="1" readingOrder="1"/>
    </xf>
    <xf numFmtId="0" fontId="15" fillId="12" borderId="22" xfId="0" applyFont="1" applyFill="1" applyBorder="1" applyAlignment="1">
      <alignment horizontal="center" vertical="center" wrapText="1" readingOrder="1"/>
    </xf>
    <xf numFmtId="0" fontId="0" fillId="12" borderId="22" xfId="0" applyFill="1" applyBorder="1" applyAlignment="1">
      <alignment horizontal="center" vertical="center" wrapText="1"/>
    </xf>
    <xf numFmtId="0" fontId="0" fillId="12" borderId="23" xfId="0" applyFill="1" applyBorder="1" applyAlignment="1">
      <alignment horizontal="center" vertical="center" wrapText="1"/>
    </xf>
    <xf numFmtId="0" fontId="21" fillId="12" borderId="15" xfId="0" applyFont="1" applyFill="1" applyBorder="1" applyAlignment="1">
      <alignment horizontal="center" vertical="center" wrapText="1" readingOrder="1"/>
    </xf>
    <xf numFmtId="0" fontId="21" fillId="12" borderId="23" xfId="0" applyFont="1" applyFill="1" applyBorder="1" applyAlignment="1">
      <alignment horizontal="center" vertical="center" wrapText="1" readingOrder="1"/>
    </xf>
    <xf numFmtId="0" fontId="0" fillId="12" borderId="22" xfId="0" applyFill="1" applyBorder="1" applyAlignment="1">
      <alignment vertical="center" wrapText="1"/>
    </xf>
    <xf numFmtId="0" fontId="0" fillId="12" borderId="23" xfId="0" applyFill="1" applyBorder="1" applyAlignment="1">
      <alignment vertical="center" wrapText="1"/>
    </xf>
    <xf numFmtId="0" fontId="22" fillId="12" borderId="15" xfId="0" applyFont="1" applyFill="1" applyBorder="1" applyAlignment="1">
      <alignment horizontal="center" vertical="center" wrapText="1" readingOrder="1"/>
    </xf>
    <xf numFmtId="0" fontId="20" fillId="12" borderId="23" xfId="0" applyFont="1" applyFill="1" applyBorder="1" applyAlignment="1">
      <alignment horizontal="center" vertical="center" wrapText="1" readingOrder="1"/>
    </xf>
    <xf numFmtId="0" fontId="24" fillId="12" borderId="22" xfId="0" applyFont="1" applyFill="1" applyBorder="1" applyAlignment="1">
      <alignment horizontal="left" vertical="center" wrapText="1" indent="1" readingOrder="1"/>
    </xf>
    <xf numFmtId="0" fontId="2" fillId="11" borderId="23" xfId="0" applyFont="1" applyFill="1" applyBorder="1" applyAlignment="1">
      <alignment horizontal="center" vertical="center" wrapText="1"/>
    </xf>
    <xf numFmtId="0" fontId="23" fillId="11" borderId="22" xfId="0" applyFont="1" applyFill="1" applyBorder="1" applyAlignment="1">
      <alignment horizontal="center" vertical="center" wrapText="1" readingOrder="1"/>
    </xf>
    <xf numFmtId="0" fontId="14" fillId="10" borderId="15" xfId="0" applyFont="1" applyFill="1" applyBorder="1" applyAlignment="1">
      <alignment horizontal="left" vertical="center" wrapText="1" readingOrder="1"/>
    </xf>
    <xf numFmtId="0" fontId="14" fillId="10" borderId="22" xfId="0" applyFont="1" applyFill="1" applyBorder="1" applyAlignment="1">
      <alignment horizontal="left" vertical="center" wrapText="1" readingOrder="1"/>
    </xf>
    <xf numFmtId="0" fontId="14" fillId="10" borderId="23" xfId="0" applyFont="1" applyFill="1" applyBorder="1" applyAlignment="1">
      <alignment horizontal="left" vertical="center" wrapText="1" readingOrder="1"/>
    </xf>
    <xf numFmtId="0" fontId="15" fillId="11" borderId="15" xfId="0" applyFont="1" applyFill="1" applyBorder="1" applyAlignment="1">
      <alignment horizontal="center" vertical="center" wrapText="1" readingOrder="1"/>
    </xf>
    <xf numFmtId="0" fontId="15" fillId="11" borderId="22" xfId="0" applyFont="1" applyFill="1" applyBorder="1" applyAlignment="1">
      <alignment horizontal="center" vertical="center" wrapText="1" readingOrder="1"/>
    </xf>
    <xf numFmtId="0" fontId="15" fillId="11" borderId="23" xfId="0" applyFont="1" applyFill="1" applyBorder="1" applyAlignment="1">
      <alignment horizontal="center" vertical="center" wrapText="1" readingOrder="1"/>
    </xf>
    <xf numFmtId="0" fontId="15" fillId="12" borderId="15" xfId="0" applyFont="1" applyFill="1" applyBorder="1" applyAlignment="1">
      <alignment horizontal="center" vertical="center" wrapText="1" readingOrder="1"/>
    </xf>
    <xf numFmtId="0" fontId="15" fillId="12" borderId="22" xfId="0" applyFont="1" applyFill="1" applyBorder="1" applyAlignment="1">
      <alignment horizontal="center" vertical="center" wrapText="1" readingOrder="1"/>
    </xf>
    <xf numFmtId="0" fontId="15" fillId="12" borderId="23" xfId="0" applyFont="1" applyFill="1" applyBorder="1" applyAlignment="1">
      <alignment horizontal="center" vertical="center" wrapText="1" readingOrder="1"/>
    </xf>
    <xf numFmtId="0" fontId="27" fillId="11" borderId="15" xfId="0" applyFont="1" applyFill="1" applyBorder="1" applyAlignment="1">
      <alignment horizontal="center" vertical="center" wrapText="1" readingOrder="1"/>
    </xf>
    <xf numFmtId="0" fontId="27" fillId="11" borderId="23" xfId="0" applyFont="1" applyFill="1" applyBorder="1" applyAlignment="1">
      <alignment horizontal="center" vertical="center" wrapText="1" readingOrder="1"/>
    </xf>
    <xf numFmtId="0" fontId="16" fillId="12" borderId="15" xfId="0" applyFont="1" applyFill="1" applyBorder="1" applyAlignment="1">
      <alignment horizontal="left" vertical="center" wrapText="1" indent="1" readingOrder="1"/>
    </xf>
    <xf numFmtId="0" fontId="16" fillId="12" borderId="23" xfId="0" applyFont="1" applyFill="1" applyBorder="1" applyAlignment="1">
      <alignment horizontal="left" vertical="center" wrapText="1" indent="1" readingOrder="1"/>
    </xf>
    <xf numFmtId="0" fontId="23" fillId="12" borderId="15" xfId="0" applyFont="1" applyFill="1" applyBorder="1" applyAlignment="1">
      <alignment horizontal="center" vertical="center" wrapText="1" readingOrder="1"/>
    </xf>
    <xf numFmtId="0" fontId="26" fillId="11" borderId="15" xfId="0" applyFont="1" applyFill="1" applyBorder="1" applyAlignment="1">
      <alignment horizontal="center" vertical="center" wrapText="1"/>
    </xf>
    <xf numFmtId="0" fontId="26" fillId="11" borderId="23" xfId="0" applyFont="1" applyFill="1" applyBorder="1" applyAlignment="1">
      <alignment horizontal="center" vertical="center" wrapText="1"/>
    </xf>
    <xf numFmtId="0" fontId="13" fillId="10" borderId="17" xfId="0" applyFont="1" applyFill="1" applyBorder="1" applyAlignment="1">
      <alignment horizontal="center" vertical="center" wrapText="1" readingOrder="1"/>
    </xf>
    <xf numFmtId="0" fontId="13" fillId="10" borderId="18" xfId="0" applyFont="1" applyFill="1" applyBorder="1" applyAlignment="1">
      <alignment horizontal="center" vertical="center" wrapText="1" readingOrder="1"/>
    </xf>
    <xf numFmtId="0" fontId="14" fillId="10" borderId="21" xfId="0" applyFont="1" applyFill="1" applyBorder="1" applyAlignment="1">
      <alignment horizontal="left" vertical="center" wrapText="1" readingOrder="1"/>
    </xf>
    <xf numFmtId="0" fontId="15" fillId="11" borderId="21" xfId="0" applyFont="1" applyFill="1" applyBorder="1" applyAlignment="1">
      <alignment horizontal="center" vertical="center" wrapText="1" readingOrder="1"/>
    </xf>
    <xf numFmtId="0" fontId="23" fillId="12" borderId="21" xfId="0" applyFont="1" applyFill="1" applyBorder="1" applyAlignment="1">
      <alignment horizontal="center" vertical="center" wrapText="1" readingOrder="1"/>
    </xf>
    <xf numFmtId="0" fontId="5" fillId="8" borderId="0" xfId="0" applyFont="1" applyFill="1" applyAlignment="1">
      <alignment horizontal="left" vertical="center"/>
    </xf>
    <xf numFmtId="0" fontId="13" fillId="10" borderId="15" xfId="0" applyFont="1" applyFill="1" applyBorder="1" applyAlignment="1">
      <alignment horizontal="left" vertical="center" wrapText="1" readingOrder="1"/>
    </xf>
    <xf numFmtId="0" fontId="13" fillId="10" borderId="16" xfId="0" applyFont="1" applyFill="1" applyBorder="1" applyAlignment="1">
      <alignment horizontal="left" vertical="center" wrapText="1" readingOrder="1"/>
    </xf>
    <xf numFmtId="0" fontId="13" fillId="10" borderId="15" xfId="0" applyFont="1" applyFill="1" applyBorder="1" applyAlignment="1">
      <alignment horizontal="center" vertical="center" wrapText="1" readingOrder="1"/>
    </xf>
    <xf numFmtId="0" fontId="13" fillId="10" borderId="16" xfId="0" applyFont="1" applyFill="1" applyBorder="1" applyAlignment="1">
      <alignment horizontal="center" vertical="center" wrapText="1" readingOrder="1"/>
    </xf>
    <xf numFmtId="0" fontId="25" fillId="10" borderId="24" xfId="0" applyFont="1" applyFill="1" applyBorder="1" applyAlignment="1">
      <alignment horizontal="center" vertical="center" wrapText="1" readingOrder="1"/>
    </xf>
    <xf numFmtId="0" fontId="13" fillId="10" borderId="25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1" fontId="6" fillId="3" borderId="6" xfId="0" applyNumberFormat="1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0_2">
  <dgm:title val=""/>
  <dgm:desc val=""/>
  <dgm:catLst>
    <dgm:cat type="mainScheme" pri="10200"/>
  </dgm:catLst>
  <dgm:styleLbl name="node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lig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lnNode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2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node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f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2">
        <a:tint val="4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dk2"/>
    </dgm:txFillClrLst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1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2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3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asst4">
    <dgm:fillClrLst meth="repeat">
      <a:schemeClr val="lt1"/>
    </dgm:fillClrLst>
    <dgm:linClrLst meth="repeat">
      <a:schemeClr val="dk2">
        <a:shade val="80000"/>
      </a:schemeClr>
    </dgm:linClrLst>
    <dgm:effectClrLst/>
    <dgm:txLinClrLst/>
    <dgm:txFillClrLst meth="repeat">
      <a:schemeClr val="dk2"/>
    </dgm:txFillClrLst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conF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align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trAlignAcc1">
    <dgm:fillClrLst meth="repeat">
      <a:schemeClr val="dk2">
        <a:alpha val="4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Acc1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F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Align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solidBgAcc1">
    <dgm:fillClrLst meth="repeat">
      <a:schemeClr val="lt1"/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2">
        <a:alpha val="90000"/>
      </a:schemeClr>
    </dgm:linClrLst>
    <dgm:effectClrLst/>
    <dgm:txLinClrLst/>
    <dgm:txFillClrLst meth="repeat">
      <a:schemeClr val="dk2"/>
    </dgm:txFillClrLst>
    <dgm:txEffectClrLst/>
  </dgm:styleLbl>
  <dgm:styleLbl name="fgAcc0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2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3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fgAcc4">
    <dgm:fillClrLst meth="repeat">
      <a:schemeClr val="dk2">
        <a:alpha val="90000"/>
        <a:tint val="40000"/>
      </a:schemeClr>
    </dgm:fillClrLst>
    <dgm:linClrLst meth="repeat">
      <a:schemeClr val="dk2"/>
    </dgm:linClrLst>
    <dgm:effectClrLst/>
    <dgm:txLinClrLst/>
    <dgm:txFillClrLst meth="repeat">
      <a:schemeClr val="dk2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1"/>
    </dgm:linClrLst>
    <dgm:effectClrLst/>
    <dgm:txLinClrLst/>
    <dgm:txFillClrLst meth="repeat">
      <a:schemeClr val="dk2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2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170DEDF-F637-4E76-8653-4164A5E3CC76}" type="doc">
      <dgm:prSet loTypeId="urn:microsoft.com/office/officeart/2005/8/layout/hierarchy2" loCatId="hierarchy" qsTypeId="urn:microsoft.com/office/officeart/2005/8/quickstyle/simple1" qsCatId="simple" csTypeId="urn:microsoft.com/office/officeart/2005/8/colors/accent0_2" csCatId="mainScheme" phldr="1"/>
      <dgm:spPr/>
      <dgm:t>
        <a:bodyPr/>
        <a:lstStyle/>
        <a:p>
          <a:endParaRPr lang="en-US"/>
        </a:p>
      </dgm:t>
    </dgm:pt>
    <dgm:pt modelId="{236ED2A6-C6DE-4AAB-9AE5-9BFC333F8501}">
      <dgm:prSet phldrT="[Text]" custT="1"/>
      <dgm:spPr/>
      <dgm:t>
        <a:bodyPr/>
        <a:lstStyle/>
        <a:p>
          <a:r>
            <a:rPr lang="en-US" sz="800"/>
            <a:t>Southpaw</a:t>
          </a:r>
        </a:p>
      </dgm:t>
    </dgm:pt>
    <dgm:pt modelId="{716CD9F3-D7E2-4224-AD0C-8BA189C0430F}" type="parTrans" cxnId="{78514D62-3018-4C54-BA85-953D47B75321}">
      <dgm:prSet/>
      <dgm:spPr/>
      <dgm:t>
        <a:bodyPr/>
        <a:lstStyle/>
        <a:p>
          <a:endParaRPr lang="en-US" sz="800"/>
        </a:p>
      </dgm:t>
    </dgm:pt>
    <dgm:pt modelId="{C13C23CD-640E-4801-8D32-2E7A027AD9EC}" type="sibTrans" cxnId="{78514D62-3018-4C54-BA85-953D47B75321}">
      <dgm:prSet/>
      <dgm:spPr/>
      <dgm:t>
        <a:bodyPr/>
        <a:lstStyle/>
        <a:p>
          <a:endParaRPr lang="en-US" sz="800"/>
        </a:p>
      </dgm:t>
    </dgm:pt>
    <dgm:pt modelId="{A8257C75-6083-40D6-A8A9-C040DD6E1A8B}">
      <dgm:prSet phldrT="[Text]" custT="1"/>
      <dgm:spPr/>
      <dgm:t>
        <a:bodyPr/>
        <a:lstStyle/>
        <a:p>
          <a:r>
            <a:rPr lang="en-US" sz="800"/>
            <a:t>ON</a:t>
          </a:r>
        </a:p>
      </dgm:t>
    </dgm:pt>
    <dgm:pt modelId="{46753A2A-0662-4E11-A1A1-9A6D076072D3}" type="parTrans" cxnId="{1A561DB1-FFA3-4217-837D-1D42508519DA}">
      <dgm:prSet custT="1"/>
      <dgm:spPr/>
      <dgm:t>
        <a:bodyPr/>
        <a:lstStyle/>
        <a:p>
          <a:endParaRPr lang="en-US" sz="800"/>
        </a:p>
      </dgm:t>
    </dgm:pt>
    <dgm:pt modelId="{3FB0137C-5107-4267-9C3A-3C32C3B3CD22}" type="sibTrans" cxnId="{1A561DB1-FFA3-4217-837D-1D42508519DA}">
      <dgm:prSet/>
      <dgm:spPr/>
      <dgm:t>
        <a:bodyPr/>
        <a:lstStyle/>
        <a:p>
          <a:endParaRPr lang="en-US" sz="800"/>
        </a:p>
      </dgm:t>
    </dgm:pt>
    <dgm:pt modelId="{24AA6174-1931-4669-A8E8-47C7AD017C73}">
      <dgm:prSet phldrT="[Text]" custT="1"/>
      <dgm:spPr/>
      <dgm:t>
        <a:bodyPr/>
        <a:lstStyle/>
        <a:p>
          <a:r>
            <a:rPr lang="en-US" sz="800"/>
            <a:t>OFF</a:t>
          </a:r>
        </a:p>
      </dgm:t>
    </dgm:pt>
    <dgm:pt modelId="{3B1EE30C-47F7-4F4E-982F-3EA8EAF5B154}" type="parTrans" cxnId="{CB23C072-13B9-4631-B0E3-9237E7B2305B}">
      <dgm:prSet custT="1"/>
      <dgm:spPr/>
      <dgm:t>
        <a:bodyPr/>
        <a:lstStyle/>
        <a:p>
          <a:endParaRPr lang="en-US" sz="800"/>
        </a:p>
      </dgm:t>
    </dgm:pt>
    <dgm:pt modelId="{6EB1EB84-A2C0-4E02-B9E9-4592A1FC031A}" type="sibTrans" cxnId="{CB23C072-13B9-4631-B0E3-9237E7B2305B}">
      <dgm:prSet/>
      <dgm:spPr/>
      <dgm:t>
        <a:bodyPr/>
        <a:lstStyle/>
        <a:p>
          <a:endParaRPr lang="en-US" sz="800"/>
        </a:p>
      </dgm:t>
    </dgm:pt>
    <dgm:pt modelId="{B17B74BF-8CDD-4688-91B6-5DA3683B6E93}">
      <dgm:prSet phldrT="[Text]" custT="1"/>
      <dgm:spPr/>
      <dgm:t>
        <a:bodyPr/>
        <a:lstStyle/>
        <a:p>
          <a:r>
            <a:rPr lang="en-US" sz="800"/>
            <a:t>Footwork</a:t>
          </a:r>
        </a:p>
      </dgm:t>
    </dgm:pt>
    <dgm:pt modelId="{4A2325C2-EDEF-45CD-903C-C8E92FF8BE66}" type="parTrans" cxnId="{486DEF41-1124-44E0-8A4F-2532D44FCCEC}">
      <dgm:prSet/>
      <dgm:spPr/>
      <dgm:t>
        <a:bodyPr/>
        <a:lstStyle/>
        <a:p>
          <a:endParaRPr lang="en-US" sz="800"/>
        </a:p>
      </dgm:t>
    </dgm:pt>
    <dgm:pt modelId="{78914DF3-F61A-489B-8909-5072D14A214D}" type="sibTrans" cxnId="{486DEF41-1124-44E0-8A4F-2532D44FCCEC}">
      <dgm:prSet/>
      <dgm:spPr/>
      <dgm:t>
        <a:bodyPr/>
        <a:lstStyle/>
        <a:p>
          <a:endParaRPr lang="en-US" sz="800"/>
        </a:p>
      </dgm:t>
    </dgm:pt>
    <dgm:pt modelId="{3709D1FD-0EAA-42EB-A085-FE6D781C2B0B}">
      <dgm:prSet phldrT="[Text]" custT="1"/>
      <dgm:spPr/>
      <dgm:t>
        <a:bodyPr/>
        <a:lstStyle/>
        <a:p>
          <a:r>
            <a:rPr lang="en-US" sz="800"/>
            <a:t>ON</a:t>
          </a:r>
        </a:p>
      </dgm:t>
    </dgm:pt>
    <dgm:pt modelId="{2305F45D-D9D6-4A14-B5B6-1706EF93948D}" type="parTrans" cxnId="{B6E160C5-ACCB-45C8-8D3E-6E1A055A02A3}">
      <dgm:prSet custT="1"/>
      <dgm:spPr/>
      <dgm:t>
        <a:bodyPr/>
        <a:lstStyle/>
        <a:p>
          <a:endParaRPr lang="en-US" sz="800"/>
        </a:p>
      </dgm:t>
    </dgm:pt>
    <dgm:pt modelId="{8E66E4B0-5FC8-4923-AB7F-D18452A4E4A6}" type="sibTrans" cxnId="{B6E160C5-ACCB-45C8-8D3E-6E1A055A02A3}">
      <dgm:prSet/>
      <dgm:spPr/>
      <dgm:t>
        <a:bodyPr/>
        <a:lstStyle/>
        <a:p>
          <a:endParaRPr lang="en-US" sz="800"/>
        </a:p>
      </dgm:t>
    </dgm:pt>
    <dgm:pt modelId="{10A4FBD4-6B91-470B-A078-1FF184D66BA8}">
      <dgm:prSet phldrT="[Text]" custT="1"/>
      <dgm:spPr/>
      <dgm:t>
        <a:bodyPr/>
        <a:lstStyle/>
        <a:p>
          <a:r>
            <a:rPr lang="en-US" sz="800"/>
            <a:t>OFF</a:t>
          </a:r>
        </a:p>
      </dgm:t>
    </dgm:pt>
    <dgm:pt modelId="{3608E096-CA42-4F03-9C0D-2B6E9C9D2EDA}" type="parTrans" cxnId="{DB7F5EA1-2844-4602-900D-741614088B89}">
      <dgm:prSet custT="1"/>
      <dgm:spPr/>
      <dgm:t>
        <a:bodyPr/>
        <a:lstStyle/>
        <a:p>
          <a:endParaRPr lang="en-US" sz="800"/>
        </a:p>
      </dgm:t>
    </dgm:pt>
    <dgm:pt modelId="{B4A38B54-CA42-4579-B00C-CA3D067DA816}" type="sibTrans" cxnId="{DB7F5EA1-2844-4602-900D-741614088B89}">
      <dgm:prSet/>
      <dgm:spPr/>
      <dgm:t>
        <a:bodyPr/>
        <a:lstStyle/>
        <a:p>
          <a:endParaRPr lang="en-US" sz="800"/>
        </a:p>
      </dgm:t>
    </dgm:pt>
    <dgm:pt modelId="{F89D410B-A568-406E-9E92-B6B7CED2332E}" type="pres">
      <dgm:prSet presAssocID="{E170DEDF-F637-4E76-8653-4164A5E3CC76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504F0B7D-B391-44DF-8A68-8A820100DF3F}" type="pres">
      <dgm:prSet presAssocID="{236ED2A6-C6DE-4AAB-9AE5-9BFC333F8501}" presName="root1" presStyleCnt="0"/>
      <dgm:spPr/>
    </dgm:pt>
    <dgm:pt modelId="{3566C2EE-DBA7-4329-BA53-C8419A7A1942}" type="pres">
      <dgm:prSet presAssocID="{236ED2A6-C6DE-4AAB-9AE5-9BFC333F8501}" presName="LevelOneTextNode" presStyleLbl="node0" presStyleIdx="0" presStyleCnt="2">
        <dgm:presLayoutVars>
          <dgm:chPref val="3"/>
        </dgm:presLayoutVars>
      </dgm:prSet>
      <dgm:spPr/>
    </dgm:pt>
    <dgm:pt modelId="{B682C9F1-AEDB-498E-9088-EAD5CE4CCB9D}" type="pres">
      <dgm:prSet presAssocID="{236ED2A6-C6DE-4AAB-9AE5-9BFC333F8501}" presName="level2hierChild" presStyleCnt="0"/>
      <dgm:spPr/>
    </dgm:pt>
    <dgm:pt modelId="{B5B8399A-9945-4EDF-AB9A-17B72D394C58}" type="pres">
      <dgm:prSet presAssocID="{46753A2A-0662-4E11-A1A1-9A6D076072D3}" presName="conn2-1" presStyleLbl="parChTrans1D2" presStyleIdx="0" presStyleCnt="4"/>
      <dgm:spPr/>
    </dgm:pt>
    <dgm:pt modelId="{81D0E822-2B16-458C-8D36-BD00BFDB1344}" type="pres">
      <dgm:prSet presAssocID="{46753A2A-0662-4E11-A1A1-9A6D076072D3}" presName="connTx" presStyleLbl="parChTrans1D2" presStyleIdx="0" presStyleCnt="4"/>
      <dgm:spPr/>
    </dgm:pt>
    <dgm:pt modelId="{FFFFC4E1-CEB5-48AC-A55B-A7F38CD53E27}" type="pres">
      <dgm:prSet presAssocID="{A8257C75-6083-40D6-A8A9-C040DD6E1A8B}" presName="root2" presStyleCnt="0"/>
      <dgm:spPr/>
    </dgm:pt>
    <dgm:pt modelId="{AA39FE68-18B8-4051-9618-639DDFDB98AB}" type="pres">
      <dgm:prSet presAssocID="{A8257C75-6083-40D6-A8A9-C040DD6E1A8B}" presName="LevelTwoTextNode" presStyleLbl="node2" presStyleIdx="0" presStyleCnt="4">
        <dgm:presLayoutVars>
          <dgm:chPref val="3"/>
        </dgm:presLayoutVars>
      </dgm:prSet>
      <dgm:spPr/>
    </dgm:pt>
    <dgm:pt modelId="{49557E5E-F4AA-4FB7-8F3B-48D8D53A34E2}" type="pres">
      <dgm:prSet presAssocID="{A8257C75-6083-40D6-A8A9-C040DD6E1A8B}" presName="level3hierChild" presStyleCnt="0"/>
      <dgm:spPr/>
    </dgm:pt>
    <dgm:pt modelId="{57AB7146-1A19-4241-B1F2-14D222E9C4B0}" type="pres">
      <dgm:prSet presAssocID="{3B1EE30C-47F7-4F4E-982F-3EA8EAF5B154}" presName="conn2-1" presStyleLbl="parChTrans1D2" presStyleIdx="1" presStyleCnt="4"/>
      <dgm:spPr/>
    </dgm:pt>
    <dgm:pt modelId="{97848297-B9F6-4223-8927-3F15403989BE}" type="pres">
      <dgm:prSet presAssocID="{3B1EE30C-47F7-4F4E-982F-3EA8EAF5B154}" presName="connTx" presStyleLbl="parChTrans1D2" presStyleIdx="1" presStyleCnt="4"/>
      <dgm:spPr/>
    </dgm:pt>
    <dgm:pt modelId="{A65960B4-7206-4BD7-9FA3-26CE5DB5C958}" type="pres">
      <dgm:prSet presAssocID="{24AA6174-1931-4669-A8E8-47C7AD017C73}" presName="root2" presStyleCnt="0"/>
      <dgm:spPr/>
    </dgm:pt>
    <dgm:pt modelId="{34B60C4D-4494-42DC-B86C-92190619CB39}" type="pres">
      <dgm:prSet presAssocID="{24AA6174-1931-4669-A8E8-47C7AD017C73}" presName="LevelTwoTextNode" presStyleLbl="node2" presStyleIdx="1" presStyleCnt="4">
        <dgm:presLayoutVars>
          <dgm:chPref val="3"/>
        </dgm:presLayoutVars>
      </dgm:prSet>
      <dgm:spPr/>
    </dgm:pt>
    <dgm:pt modelId="{C6CAB83B-84A1-4E81-A5BB-888378B22CA2}" type="pres">
      <dgm:prSet presAssocID="{24AA6174-1931-4669-A8E8-47C7AD017C73}" presName="level3hierChild" presStyleCnt="0"/>
      <dgm:spPr/>
    </dgm:pt>
    <dgm:pt modelId="{DAEFEE75-9D9D-42ED-9AE3-D4E595355905}" type="pres">
      <dgm:prSet presAssocID="{B17B74BF-8CDD-4688-91B6-5DA3683B6E93}" presName="root1" presStyleCnt="0"/>
      <dgm:spPr/>
    </dgm:pt>
    <dgm:pt modelId="{59ED7280-0E1D-4A4A-9013-EC636674C747}" type="pres">
      <dgm:prSet presAssocID="{B17B74BF-8CDD-4688-91B6-5DA3683B6E93}" presName="LevelOneTextNode" presStyleLbl="node0" presStyleIdx="1" presStyleCnt="2">
        <dgm:presLayoutVars>
          <dgm:chPref val="3"/>
        </dgm:presLayoutVars>
      </dgm:prSet>
      <dgm:spPr/>
    </dgm:pt>
    <dgm:pt modelId="{959410AB-0CA3-4B35-82B4-A84D0EA68F01}" type="pres">
      <dgm:prSet presAssocID="{B17B74BF-8CDD-4688-91B6-5DA3683B6E93}" presName="level2hierChild" presStyleCnt="0"/>
      <dgm:spPr/>
    </dgm:pt>
    <dgm:pt modelId="{E9D31FC1-E6CF-44E4-BDFC-4E4A53CE7999}" type="pres">
      <dgm:prSet presAssocID="{2305F45D-D9D6-4A14-B5B6-1706EF93948D}" presName="conn2-1" presStyleLbl="parChTrans1D2" presStyleIdx="2" presStyleCnt="4"/>
      <dgm:spPr/>
    </dgm:pt>
    <dgm:pt modelId="{E55CDBE5-2E2A-44CA-BEFF-0200975D2170}" type="pres">
      <dgm:prSet presAssocID="{2305F45D-D9D6-4A14-B5B6-1706EF93948D}" presName="connTx" presStyleLbl="parChTrans1D2" presStyleIdx="2" presStyleCnt="4"/>
      <dgm:spPr/>
    </dgm:pt>
    <dgm:pt modelId="{8DC59228-CC9D-4496-BB89-D814550C5AB1}" type="pres">
      <dgm:prSet presAssocID="{3709D1FD-0EAA-42EB-A085-FE6D781C2B0B}" presName="root2" presStyleCnt="0"/>
      <dgm:spPr/>
    </dgm:pt>
    <dgm:pt modelId="{234FB586-3366-4ED7-A60F-7CBBB2E37A63}" type="pres">
      <dgm:prSet presAssocID="{3709D1FD-0EAA-42EB-A085-FE6D781C2B0B}" presName="LevelTwoTextNode" presStyleLbl="node2" presStyleIdx="2" presStyleCnt="4">
        <dgm:presLayoutVars>
          <dgm:chPref val="3"/>
        </dgm:presLayoutVars>
      </dgm:prSet>
      <dgm:spPr/>
    </dgm:pt>
    <dgm:pt modelId="{F44E97BC-4897-4CEA-9DB0-3CB602163EEB}" type="pres">
      <dgm:prSet presAssocID="{3709D1FD-0EAA-42EB-A085-FE6D781C2B0B}" presName="level3hierChild" presStyleCnt="0"/>
      <dgm:spPr/>
    </dgm:pt>
    <dgm:pt modelId="{7F625BF4-7D9C-4973-A09C-AC43C644C7BE}" type="pres">
      <dgm:prSet presAssocID="{3608E096-CA42-4F03-9C0D-2B6E9C9D2EDA}" presName="conn2-1" presStyleLbl="parChTrans1D2" presStyleIdx="3" presStyleCnt="4"/>
      <dgm:spPr/>
    </dgm:pt>
    <dgm:pt modelId="{2A972413-8A8D-4B02-B436-0A3D13710E4F}" type="pres">
      <dgm:prSet presAssocID="{3608E096-CA42-4F03-9C0D-2B6E9C9D2EDA}" presName="connTx" presStyleLbl="parChTrans1D2" presStyleIdx="3" presStyleCnt="4"/>
      <dgm:spPr/>
    </dgm:pt>
    <dgm:pt modelId="{E818A74B-D46B-405B-AE93-082036A5F15A}" type="pres">
      <dgm:prSet presAssocID="{10A4FBD4-6B91-470B-A078-1FF184D66BA8}" presName="root2" presStyleCnt="0"/>
      <dgm:spPr/>
    </dgm:pt>
    <dgm:pt modelId="{29A68352-3553-494E-9760-7B534C03B3FC}" type="pres">
      <dgm:prSet presAssocID="{10A4FBD4-6B91-470B-A078-1FF184D66BA8}" presName="LevelTwoTextNode" presStyleLbl="node2" presStyleIdx="3" presStyleCnt="4">
        <dgm:presLayoutVars>
          <dgm:chPref val="3"/>
        </dgm:presLayoutVars>
      </dgm:prSet>
      <dgm:spPr/>
    </dgm:pt>
    <dgm:pt modelId="{28C94C98-1CA0-47B5-98F3-1C14BB19176D}" type="pres">
      <dgm:prSet presAssocID="{10A4FBD4-6B91-470B-A078-1FF184D66BA8}" presName="level3hierChild" presStyleCnt="0"/>
      <dgm:spPr/>
    </dgm:pt>
  </dgm:ptLst>
  <dgm:cxnLst>
    <dgm:cxn modelId="{93EA0602-B66E-4A82-B4F1-E682BAB01B74}" type="presOf" srcId="{3608E096-CA42-4F03-9C0D-2B6E9C9D2EDA}" destId="{2A972413-8A8D-4B02-B436-0A3D13710E4F}" srcOrd="1" destOrd="0" presId="urn:microsoft.com/office/officeart/2005/8/layout/hierarchy2"/>
    <dgm:cxn modelId="{07ED300A-D349-4497-AF45-0E3807260688}" type="presOf" srcId="{24AA6174-1931-4669-A8E8-47C7AD017C73}" destId="{34B60C4D-4494-42DC-B86C-92190619CB39}" srcOrd="0" destOrd="0" presId="urn:microsoft.com/office/officeart/2005/8/layout/hierarchy2"/>
    <dgm:cxn modelId="{7E6B0B11-C9F9-4342-BB45-0A3B8919E94B}" type="presOf" srcId="{3709D1FD-0EAA-42EB-A085-FE6D781C2B0B}" destId="{234FB586-3366-4ED7-A60F-7CBBB2E37A63}" srcOrd="0" destOrd="0" presId="urn:microsoft.com/office/officeart/2005/8/layout/hierarchy2"/>
    <dgm:cxn modelId="{0E293012-83C4-439C-81FB-F6C01CB953DE}" type="presOf" srcId="{3B1EE30C-47F7-4F4E-982F-3EA8EAF5B154}" destId="{97848297-B9F6-4223-8927-3F15403989BE}" srcOrd="1" destOrd="0" presId="urn:microsoft.com/office/officeart/2005/8/layout/hierarchy2"/>
    <dgm:cxn modelId="{229BF85E-237C-4A10-B967-EEF77002FB9A}" type="presOf" srcId="{3B1EE30C-47F7-4F4E-982F-3EA8EAF5B154}" destId="{57AB7146-1A19-4241-B1F2-14D222E9C4B0}" srcOrd="0" destOrd="0" presId="urn:microsoft.com/office/officeart/2005/8/layout/hierarchy2"/>
    <dgm:cxn modelId="{486DEF41-1124-44E0-8A4F-2532D44FCCEC}" srcId="{E170DEDF-F637-4E76-8653-4164A5E3CC76}" destId="{B17B74BF-8CDD-4688-91B6-5DA3683B6E93}" srcOrd="1" destOrd="0" parTransId="{4A2325C2-EDEF-45CD-903C-C8E92FF8BE66}" sibTransId="{78914DF3-F61A-489B-8909-5072D14A214D}"/>
    <dgm:cxn modelId="{78514D62-3018-4C54-BA85-953D47B75321}" srcId="{E170DEDF-F637-4E76-8653-4164A5E3CC76}" destId="{236ED2A6-C6DE-4AAB-9AE5-9BFC333F8501}" srcOrd="0" destOrd="0" parTransId="{716CD9F3-D7E2-4224-AD0C-8BA189C0430F}" sibTransId="{C13C23CD-640E-4801-8D32-2E7A027AD9EC}"/>
    <dgm:cxn modelId="{8F0EF043-2C98-4E92-9E72-36E7937499D4}" type="presOf" srcId="{3608E096-CA42-4F03-9C0D-2B6E9C9D2EDA}" destId="{7F625BF4-7D9C-4973-A09C-AC43C644C7BE}" srcOrd="0" destOrd="0" presId="urn:microsoft.com/office/officeart/2005/8/layout/hierarchy2"/>
    <dgm:cxn modelId="{CB94E169-43E0-48EC-955F-52E69D3E2DA1}" type="presOf" srcId="{E170DEDF-F637-4E76-8653-4164A5E3CC76}" destId="{F89D410B-A568-406E-9E92-B6B7CED2332E}" srcOrd="0" destOrd="0" presId="urn:microsoft.com/office/officeart/2005/8/layout/hierarchy2"/>
    <dgm:cxn modelId="{AC3AF551-089A-438E-A626-74E17618D521}" type="presOf" srcId="{236ED2A6-C6DE-4AAB-9AE5-9BFC333F8501}" destId="{3566C2EE-DBA7-4329-BA53-C8419A7A1942}" srcOrd="0" destOrd="0" presId="urn:microsoft.com/office/officeart/2005/8/layout/hierarchy2"/>
    <dgm:cxn modelId="{CB23C072-13B9-4631-B0E3-9237E7B2305B}" srcId="{236ED2A6-C6DE-4AAB-9AE5-9BFC333F8501}" destId="{24AA6174-1931-4669-A8E8-47C7AD017C73}" srcOrd="1" destOrd="0" parTransId="{3B1EE30C-47F7-4F4E-982F-3EA8EAF5B154}" sibTransId="{6EB1EB84-A2C0-4E02-B9E9-4592A1FC031A}"/>
    <dgm:cxn modelId="{16078856-0758-45D7-9CE2-A5D0FD205219}" type="presOf" srcId="{46753A2A-0662-4E11-A1A1-9A6D076072D3}" destId="{81D0E822-2B16-458C-8D36-BD00BFDB1344}" srcOrd="1" destOrd="0" presId="urn:microsoft.com/office/officeart/2005/8/layout/hierarchy2"/>
    <dgm:cxn modelId="{2E7FBC84-86D6-405E-9C0F-3E962418215A}" type="presOf" srcId="{46753A2A-0662-4E11-A1A1-9A6D076072D3}" destId="{B5B8399A-9945-4EDF-AB9A-17B72D394C58}" srcOrd="0" destOrd="0" presId="urn:microsoft.com/office/officeart/2005/8/layout/hierarchy2"/>
    <dgm:cxn modelId="{BF62B699-2503-4D3F-B4D0-F00832DAB5ED}" type="presOf" srcId="{B17B74BF-8CDD-4688-91B6-5DA3683B6E93}" destId="{59ED7280-0E1D-4A4A-9013-EC636674C747}" srcOrd="0" destOrd="0" presId="urn:microsoft.com/office/officeart/2005/8/layout/hierarchy2"/>
    <dgm:cxn modelId="{DB7F5EA1-2844-4602-900D-741614088B89}" srcId="{B17B74BF-8CDD-4688-91B6-5DA3683B6E93}" destId="{10A4FBD4-6B91-470B-A078-1FF184D66BA8}" srcOrd="1" destOrd="0" parTransId="{3608E096-CA42-4F03-9C0D-2B6E9C9D2EDA}" sibTransId="{B4A38B54-CA42-4579-B00C-CA3D067DA816}"/>
    <dgm:cxn modelId="{1A561DB1-FFA3-4217-837D-1D42508519DA}" srcId="{236ED2A6-C6DE-4AAB-9AE5-9BFC333F8501}" destId="{A8257C75-6083-40D6-A8A9-C040DD6E1A8B}" srcOrd="0" destOrd="0" parTransId="{46753A2A-0662-4E11-A1A1-9A6D076072D3}" sibTransId="{3FB0137C-5107-4267-9C3A-3C32C3B3CD22}"/>
    <dgm:cxn modelId="{B6E160C5-ACCB-45C8-8D3E-6E1A055A02A3}" srcId="{B17B74BF-8CDD-4688-91B6-5DA3683B6E93}" destId="{3709D1FD-0EAA-42EB-A085-FE6D781C2B0B}" srcOrd="0" destOrd="0" parTransId="{2305F45D-D9D6-4A14-B5B6-1706EF93948D}" sibTransId="{8E66E4B0-5FC8-4923-AB7F-D18452A4E4A6}"/>
    <dgm:cxn modelId="{A9DAC3C9-F9C9-4BFE-A8C6-5ADB7FE08014}" type="presOf" srcId="{2305F45D-D9D6-4A14-B5B6-1706EF93948D}" destId="{E9D31FC1-E6CF-44E4-BDFC-4E4A53CE7999}" srcOrd="0" destOrd="0" presId="urn:microsoft.com/office/officeart/2005/8/layout/hierarchy2"/>
    <dgm:cxn modelId="{CDF60DEC-99B7-49B4-9D96-6E49BCEDE9D8}" type="presOf" srcId="{2305F45D-D9D6-4A14-B5B6-1706EF93948D}" destId="{E55CDBE5-2E2A-44CA-BEFF-0200975D2170}" srcOrd="1" destOrd="0" presId="urn:microsoft.com/office/officeart/2005/8/layout/hierarchy2"/>
    <dgm:cxn modelId="{DB19D3ED-38CA-4907-A664-2B842FB144B7}" type="presOf" srcId="{A8257C75-6083-40D6-A8A9-C040DD6E1A8B}" destId="{AA39FE68-18B8-4051-9618-639DDFDB98AB}" srcOrd="0" destOrd="0" presId="urn:microsoft.com/office/officeart/2005/8/layout/hierarchy2"/>
    <dgm:cxn modelId="{E53C7CF0-0AD2-4163-A38F-86E8534DC9D8}" type="presOf" srcId="{10A4FBD4-6B91-470B-A078-1FF184D66BA8}" destId="{29A68352-3553-494E-9760-7B534C03B3FC}" srcOrd="0" destOrd="0" presId="urn:microsoft.com/office/officeart/2005/8/layout/hierarchy2"/>
    <dgm:cxn modelId="{6617F925-E0F6-44C1-B641-7DD850A2BEE6}" type="presParOf" srcId="{F89D410B-A568-406E-9E92-B6B7CED2332E}" destId="{504F0B7D-B391-44DF-8A68-8A820100DF3F}" srcOrd="0" destOrd="0" presId="urn:microsoft.com/office/officeart/2005/8/layout/hierarchy2"/>
    <dgm:cxn modelId="{5536F7AC-F488-4BB9-BC36-4A278038681F}" type="presParOf" srcId="{504F0B7D-B391-44DF-8A68-8A820100DF3F}" destId="{3566C2EE-DBA7-4329-BA53-C8419A7A1942}" srcOrd="0" destOrd="0" presId="urn:microsoft.com/office/officeart/2005/8/layout/hierarchy2"/>
    <dgm:cxn modelId="{D9719CEB-294F-448E-BAAC-EC9860FFB7FC}" type="presParOf" srcId="{504F0B7D-B391-44DF-8A68-8A820100DF3F}" destId="{B682C9F1-AEDB-498E-9088-EAD5CE4CCB9D}" srcOrd="1" destOrd="0" presId="urn:microsoft.com/office/officeart/2005/8/layout/hierarchy2"/>
    <dgm:cxn modelId="{3BA21830-01E4-4004-9200-2EF0D94A4224}" type="presParOf" srcId="{B682C9F1-AEDB-498E-9088-EAD5CE4CCB9D}" destId="{B5B8399A-9945-4EDF-AB9A-17B72D394C58}" srcOrd="0" destOrd="0" presId="urn:microsoft.com/office/officeart/2005/8/layout/hierarchy2"/>
    <dgm:cxn modelId="{967D205C-448B-4DCA-895C-144A88FA96F4}" type="presParOf" srcId="{B5B8399A-9945-4EDF-AB9A-17B72D394C58}" destId="{81D0E822-2B16-458C-8D36-BD00BFDB1344}" srcOrd="0" destOrd="0" presId="urn:microsoft.com/office/officeart/2005/8/layout/hierarchy2"/>
    <dgm:cxn modelId="{EEF9A7FC-C3BC-4531-B64D-E351203201D5}" type="presParOf" srcId="{B682C9F1-AEDB-498E-9088-EAD5CE4CCB9D}" destId="{FFFFC4E1-CEB5-48AC-A55B-A7F38CD53E27}" srcOrd="1" destOrd="0" presId="urn:microsoft.com/office/officeart/2005/8/layout/hierarchy2"/>
    <dgm:cxn modelId="{0ECB4A55-12F7-4A19-87B4-8F028817D349}" type="presParOf" srcId="{FFFFC4E1-CEB5-48AC-A55B-A7F38CD53E27}" destId="{AA39FE68-18B8-4051-9618-639DDFDB98AB}" srcOrd="0" destOrd="0" presId="urn:microsoft.com/office/officeart/2005/8/layout/hierarchy2"/>
    <dgm:cxn modelId="{43CC2579-2749-46A4-A9A8-EF7A8BE5F623}" type="presParOf" srcId="{FFFFC4E1-CEB5-48AC-A55B-A7F38CD53E27}" destId="{49557E5E-F4AA-4FB7-8F3B-48D8D53A34E2}" srcOrd="1" destOrd="0" presId="urn:microsoft.com/office/officeart/2005/8/layout/hierarchy2"/>
    <dgm:cxn modelId="{02C35EE0-9566-4EE3-A38C-57146B4F9E20}" type="presParOf" srcId="{B682C9F1-AEDB-498E-9088-EAD5CE4CCB9D}" destId="{57AB7146-1A19-4241-B1F2-14D222E9C4B0}" srcOrd="2" destOrd="0" presId="urn:microsoft.com/office/officeart/2005/8/layout/hierarchy2"/>
    <dgm:cxn modelId="{B65AC1FE-E0E1-4076-9EB3-02132C457979}" type="presParOf" srcId="{57AB7146-1A19-4241-B1F2-14D222E9C4B0}" destId="{97848297-B9F6-4223-8927-3F15403989BE}" srcOrd="0" destOrd="0" presId="urn:microsoft.com/office/officeart/2005/8/layout/hierarchy2"/>
    <dgm:cxn modelId="{A351EB53-78DE-4D3B-ADA9-DD7E39CF6BC1}" type="presParOf" srcId="{B682C9F1-AEDB-498E-9088-EAD5CE4CCB9D}" destId="{A65960B4-7206-4BD7-9FA3-26CE5DB5C958}" srcOrd="3" destOrd="0" presId="urn:microsoft.com/office/officeart/2005/8/layout/hierarchy2"/>
    <dgm:cxn modelId="{1C4FC6FB-C9B2-4947-A406-61BBF90C652B}" type="presParOf" srcId="{A65960B4-7206-4BD7-9FA3-26CE5DB5C958}" destId="{34B60C4D-4494-42DC-B86C-92190619CB39}" srcOrd="0" destOrd="0" presId="urn:microsoft.com/office/officeart/2005/8/layout/hierarchy2"/>
    <dgm:cxn modelId="{AFFCA139-846A-40A9-BD31-51C6D4BC60F9}" type="presParOf" srcId="{A65960B4-7206-4BD7-9FA3-26CE5DB5C958}" destId="{C6CAB83B-84A1-4E81-A5BB-888378B22CA2}" srcOrd="1" destOrd="0" presId="urn:microsoft.com/office/officeart/2005/8/layout/hierarchy2"/>
    <dgm:cxn modelId="{69BB02D2-8972-4420-A17A-F756CB9D62F2}" type="presParOf" srcId="{F89D410B-A568-406E-9E92-B6B7CED2332E}" destId="{DAEFEE75-9D9D-42ED-9AE3-D4E595355905}" srcOrd="1" destOrd="0" presId="urn:microsoft.com/office/officeart/2005/8/layout/hierarchy2"/>
    <dgm:cxn modelId="{F2766B7E-0FDF-4358-AE7F-6098C4B334E5}" type="presParOf" srcId="{DAEFEE75-9D9D-42ED-9AE3-D4E595355905}" destId="{59ED7280-0E1D-4A4A-9013-EC636674C747}" srcOrd="0" destOrd="0" presId="urn:microsoft.com/office/officeart/2005/8/layout/hierarchy2"/>
    <dgm:cxn modelId="{11C5B303-5D5A-44CE-B9C9-7923BD1E941E}" type="presParOf" srcId="{DAEFEE75-9D9D-42ED-9AE3-D4E595355905}" destId="{959410AB-0CA3-4B35-82B4-A84D0EA68F01}" srcOrd="1" destOrd="0" presId="urn:microsoft.com/office/officeart/2005/8/layout/hierarchy2"/>
    <dgm:cxn modelId="{AF6A8F33-DE24-42CB-9696-70E13D51E7EB}" type="presParOf" srcId="{959410AB-0CA3-4B35-82B4-A84D0EA68F01}" destId="{E9D31FC1-E6CF-44E4-BDFC-4E4A53CE7999}" srcOrd="0" destOrd="0" presId="urn:microsoft.com/office/officeart/2005/8/layout/hierarchy2"/>
    <dgm:cxn modelId="{1AD067DA-08D5-4EC0-9791-4B1C1D52A13F}" type="presParOf" srcId="{E9D31FC1-E6CF-44E4-BDFC-4E4A53CE7999}" destId="{E55CDBE5-2E2A-44CA-BEFF-0200975D2170}" srcOrd="0" destOrd="0" presId="urn:microsoft.com/office/officeart/2005/8/layout/hierarchy2"/>
    <dgm:cxn modelId="{13A7D425-2F39-4523-B568-0FDCB128CB12}" type="presParOf" srcId="{959410AB-0CA3-4B35-82B4-A84D0EA68F01}" destId="{8DC59228-CC9D-4496-BB89-D814550C5AB1}" srcOrd="1" destOrd="0" presId="urn:microsoft.com/office/officeart/2005/8/layout/hierarchy2"/>
    <dgm:cxn modelId="{4E7C943C-22D4-44A2-B758-83A146527FF6}" type="presParOf" srcId="{8DC59228-CC9D-4496-BB89-D814550C5AB1}" destId="{234FB586-3366-4ED7-A60F-7CBBB2E37A63}" srcOrd="0" destOrd="0" presId="urn:microsoft.com/office/officeart/2005/8/layout/hierarchy2"/>
    <dgm:cxn modelId="{5B4E78F0-30B1-41E5-98AC-4B0D640D6722}" type="presParOf" srcId="{8DC59228-CC9D-4496-BB89-D814550C5AB1}" destId="{F44E97BC-4897-4CEA-9DB0-3CB602163EEB}" srcOrd="1" destOrd="0" presId="urn:microsoft.com/office/officeart/2005/8/layout/hierarchy2"/>
    <dgm:cxn modelId="{9D59A7F5-769A-4C6A-BB86-942F2B72B537}" type="presParOf" srcId="{959410AB-0CA3-4B35-82B4-A84D0EA68F01}" destId="{7F625BF4-7D9C-4973-A09C-AC43C644C7BE}" srcOrd="2" destOrd="0" presId="urn:microsoft.com/office/officeart/2005/8/layout/hierarchy2"/>
    <dgm:cxn modelId="{845C8448-B62B-44D6-BF82-0201A7A0F557}" type="presParOf" srcId="{7F625BF4-7D9C-4973-A09C-AC43C644C7BE}" destId="{2A972413-8A8D-4B02-B436-0A3D13710E4F}" srcOrd="0" destOrd="0" presId="urn:microsoft.com/office/officeart/2005/8/layout/hierarchy2"/>
    <dgm:cxn modelId="{ECDCBD21-CA80-4FAA-9513-5A4D291E7407}" type="presParOf" srcId="{959410AB-0CA3-4B35-82B4-A84D0EA68F01}" destId="{E818A74B-D46B-405B-AE93-082036A5F15A}" srcOrd="3" destOrd="0" presId="urn:microsoft.com/office/officeart/2005/8/layout/hierarchy2"/>
    <dgm:cxn modelId="{1FCBCDBC-7DE7-4C6C-84F4-339FBD9C0310}" type="presParOf" srcId="{E818A74B-D46B-405B-AE93-082036A5F15A}" destId="{29A68352-3553-494E-9760-7B534C03B3FC}" srcOrd="0" destOrd="0" presId="urn:microsoft.com/office/officeart/2005/8/layout/hierarchy2"/>
    <dgm:cxn modelId="{F361875F-D02C-49F9-BCC9-D0A587B6D226}" type="presParOf" srcId="{E818A74B-D46B-405B-AE93-082036A5F15A}" destId="{28C94C98-1CA0-47B5-98F3-1C14BB19176D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E170DEDF-F637-4E76-8653-4164A5E3CC76}" type="doc">
      <dgm:prSet loTypeId="urn:microsoft.com/office/officeart/2005/8/layout/hierarchy2" loCatId="hierarchy" qsTypeId="urn:microsoft.com/office/officeart/2005/8/quickstyle/simple1" qsCatId="simple" csTypeId="urn:microsoft.com/office/officeart/2005/8/colors/accent0_2" csCatId="mainScheme" phldr="1"/>
      <dgm:spPr/>
      <dgm:t>
        <a:bodyPr/>
        <a:lstStyle/>
        <a:p>
          <a:endParaRPr lang="en-US"/>
        </a:p>
      </dgm:t>
    </dgm:pt>
    <dgm:pt modelId="{DC54C6CB-B5B7-47E9-97E2-3E3BA63801DD}">
      <dgm:prSet phldrT="[Text]" custT="1"/>
      <dgm:spPr/>
      <dgm:t>
        <a:bodyPr/>
        <a:lstStyle/>
        <a:p>
          <a:r>
            <a:rPr lang="en-US" sz="800" b="1"/>
            <a:t>Level</a:t>
          </a:r>
          <a:br>
            <a:rPr lang="en-US" sz="800"/>
          </a:br>
          <a:r>
            <a:rPr lang="en-US" sz="700"/>
            <a:t>difficulty</a:t>
          </a:r>
          <a:endParaRPr lang="en-US" sz="800"/>
        </a:p>
      </dgm:t>
    </dgm:pt>
    <dgm:pt modelId="{1BA94AB6-C63B-4681-92E8-78FFDEC51868}" type="parTrans" cxnId="{41CBB79E-C2B3-4F07-9BE1-8DBB80BDE309}">
      <dgm:prSet/>
      <dgm:spPr/>
      <dgm:t>
        <a:bodyPr/>
        <a:lstStyle/>
        <a:p>
          <a:endParaRPr lang="en-US"/>
        </a:p>
      </dgm:t>
    </dgm:pt>
    <dgm:pt modelId="{FB2D647F-9529-4434-B9A1-723CF79DDDDC}" type="sibTrans" cxnId="{41CBB79E-C2B3-4F07-9BE1-8DBB80BDE309}">
      <dgm:prSet/>
      <dgm:spPr/>
      <dgm:t>
        <a:bodyPr/>
        <a:lstStyle/>
        <a:p>
          <a:endParaRPr lang="en-US"/>
        </a:p>
      </dgm:t>
    </dgm:pt>
    <dgm:pt modelId="{219839E2-F122-4BF4-AE5F-C7277279E935}">
      <dgm:prSet phldrT="[Text]" custT="1"/>
      <dgm:spPr/>
      <dgm:t>
        <a:bodyPr/>
        <a:lstStyle/>
        <a:p>
          <a:r>
            <a:rPr lang="en-US" sz="700"/>
            <a:t>1: Fixed intervals of 2 random punches</a:t>
          </a:r>
        </a:p>
      </dgm:t>
    </dgm:pt>
    <dgm:pt modelId="{B18EDA98-79AE-4C1A-BE02-8706920C7048}" type="parTrans" cxnId="{F1969FCC-FD93-48CC-B197-02E9195C2A5C}">
      <dgm:prSet/>
      <dgm:spPr/>
      <dgm:t>
        <a:bodyPr/>
        <a:lstStyle/>
        <a:p>
          <a:endParaRPr lang="en-US"/>
        </a:p>
      </dgm:t>
    </dgm:pt>
    <dgm:pt modelId="{34032269-EAF9-4013-82CB-AF327DE38EE6}" type="sibTrans" cxnId="{F1969FCC-FD93-48CC-B197-02E9195C2A5C}">
      <dgm:prSet/>
      <dgm:spPr/>
      <dgm:t>
        <a:bodyPr/>
        <a:lstStyle/>
        <a:p>
          <a:endParaRPr lang="en-US"/>
        </a:p>
      </dgm:t>
    </dgm:pt>
    <dgm:pt modelId="{C489EB2D-B9F0-492C-BF31-5B27B8320241}">
      <dgm:prSet phldrT="[Text]" custT="1"/>
      <dgm:spPr/>
      <dgm:t>
        <a:bodyPr/>
        <a:lstStyle/>
        <a:p>
          <a:r>
            <a:rPr lang="en-US" sz="800" b="1"/>
            <a:t>Rest</a:t>
          </a:r>
          <a:br>
            <a:rPr lang="en-US" sz="800"/>
          </a:br>
          <a:r>
            <a:rPr lang="en-US" sz="700"/>
            <a:t>rest duration between each round when rd&gt;1</a:t>
          </a:r>
          <a:endParaRPr lang="en-US" sz="800"/>
        </a:p>
      </dgm:t>
    </dgm:pt>
    <dgm:pt modelId="{2BD4BDC3-06B7-47FA-8E8A-BBDD87CD788B}" type="parTrans" cxnId="{1EDB7136-3D1A-45D4-A7B3-9D324E663244}">
      <dgm:prSet/>
      <dgm:spPr/>
      <dgm:t>
        <a:bodyPr/>
        <a:lstStyle/>
        <a:p>
          <a:endParaRPr lang="en-US"/>
        </a:p>
      </dgm:t>
    </dgm:pt>
    <dgm:pt modelId="{675B49F9-031A-43AC-8B6F-5AFE2C390B88}" type="sibTrans" cxnId="{1EDB7136-3D1A-45D4-A7B3-9D324E663244}">
      <dgm:prSet/>
      <dgm:spPr/>
      <dgm:t>
        <a:bodyPr/>
        <a:lstStyle/>
        <a:p>
          <a:endParaRPr lang="en-US"/>
        </a:p>
      </dgm:t>
    </dgm:pt>
    <dgm:pt modelId="{40095E92-5A50-4FD7-9DC7-54C0ED4E471F}">
      <dgm:prSet phldrT="[Text]" custT="1"/>
      <dgm:spPr/>
      <dgm:t>
        <a:bodyPr/>
        <a:lstStyle/>
        <a:p>
          <a:r>
            <a:rPr lang="en-US" sz="700"/>
            <a:t>0:10</a:t>
          </a:r>
        </a:p>
      </dgm:t>
    </dgm:pt>
    <dgm:pt modelId="{E0821B91-F679-433E-AE11-4B3AD3F2E0BD}" type="parTrans" cxnId="{37B71B5F-EFCD-47EC-B962-906A2B4FC907}">
      <dgm:prSet/>
      <dgm:spPr/>
      <dgm:t>
        <a:bodyPr/>
        <a:lstStyle/>
        <a:p>
          <a:endParaRPr lang="en-US"/>
        </a:p>
      </dgm:t>
    </dgm:pt>
    <dgm:pt modelId="{2156FAAC-589D-40C7-9CF8-50387B4C194B}" type="sibTrans" cxnId="{37B71B5F-EFCD-47EC-B962-906A2B4FC907}">
      <dgm:prSet/>
      <dgm:spPr/>
      <dgm:t>
        <a:bodyPr/>
        <a:lstStyle/>
        <a:p>
          <a:endParaRPr lang="en-US"/>
        </a:p>
      </dgm:t>
    </dgm:pt>
    <dgm:pt modelId="{6F010CC2-461B-441B-A523-D80765C2839E}">
      <dgm:prSet phldrT="[Text]" custT="1"/>
      <dgm:spPr/>
      <dgm:t>
        <a:bodyPr/>
        <a:lstStyle/>
        <a:p>
          <a:r>
            <a:rPr lang="en-US" sz="800" b="1"/>
            <a:t>Timer</a:t>
          </a:r>
          <a:br>
            <a:rPr lang="en-US" sz="800"/>
          </a:br>
          <a:r>
            <a:rPr lang="en-US" sz="700"/>
            <a:t>how long is each round</a:t>
          </a:r>
          <a:endParaRPr lang="en-US" sz="800"/>
        </a:p>
      </dgm:t>
    </dgm:pt>
    <dgm:pt modelId="{B0275BDE-F460-434C-98D1-722E35768086}" type="parTrans" cxnId="{936DFFE1-79AD-4146-89E1-8E984F48E0EE}">
      <dgm:prSet/>
      <dgm:spPr/>
      <dgm:t>
        <a:bodyPr/>
        <a:lstStyle/>
        <a:p>
          <a:endParaRPr lang="en-US"/>
        </a:p>
      </dgm:t>
    </dgm:pt>
    <dgm:pt modelId="{15DFAD44-11D0-40C2-AEB9-8681A95D6DC7}" type="sibTrans" cxnId="{936DFFE1-79AD-4146-89E1-8E984F48E0EE}">
      <dgm:prSet/>
      <dgm:spPr/>
      <dgm:t>
        <a:bodyPr/>
        <a:lstStyle/>
        <a:p>
          <a:endParaRPr lang="en-US"/>
        </a:p>
      </dgm:t>
    </dgm:pt>
    <dgm:pt modelId="{903E8CCA-8E62-4650-8B1C-F02E492E7445}">
      <dgm:prSet phldrT="[Text]" custT="1"/>
      <dgm:spPr/>
      <dgm:t>
        <a:bodyPr/>
        <a:lstStyle/>
        <a:p>
          <a:r>
            <a:rPr lang="en-US" sz="700"/>
            <a:t>25%</a:t>
          </a:r>
        </a:p>
      </dgm:t>
    </dgm:pt>
    <dgm:pt modelId="{7CDA0981-FA2F-43B5-BE8C-EA5648283D5E}" type="parTrans" cxnId="{F8FD523C-6D99-4CA2-A51E-19174A957486}">
      <dgm:prSet/>
      <dgm:spPr/>
      <dgm:t>
        <a:bodyPr/>
        <a:lstStyle/>
        <a:p>
          <a:endParaRPr lang="en-US"/>
        </a:p>
      </dgm:t>
    </dgm:pt>
    <dgm:pt modelId="{03F249EB-0691-47D3-A860-9734DA8463E3}" type="sibTrans" cxnId="{F8FD523C-6D99-4CA2-A51E-19174A957486}">
      <dgm:prSet/>
      <dgm:spPr/>
      <dgm:t>
        <a:bodyPr/>
        <a:lstStyle/>
        <a:p>
          <a:endParaRPr lang="en-US"/>
        </a:p>
      </dgm:t>
    </dgm:pt>
    <dgm:pt modelId="{236ED2A6-C6DE-4AAB-9AE5-9BFC333F8501}">
      <dgm:prSet phldrT="[Text]" custT="1"/>
      <dgm:spPr/>
      <dgm:t>
        <a:bodyPr/>
        <a:lstStyle/>
        <a:p>
          <a:r>
            <a:rPr lang="en-US" sz="1050" b="1"/>
            <a:t>Sparring</a:t>
          </a:r>
        </a:p>
      </dgm:t>
    </dgm:pt>
    <dgm:pt modelId="{716CD9F3-D7E2-4224-AD0C-8BA189C0430F}" type="parTrans" cxnId="{78514D62-3018-4C54-BA85-953D47B75321}">
      <dgm:prSet/>
      <dgm:spPr/>
      <dgm:t>
        <a:bodyPr/>
        <a:lstStyle/>
        <a:p>
          <a:endParaRPr lang="en-US"/>
        </a:p>
      </dgm:t>
    </dgm:pt>
    <dgm:pt modelId="{C13C23CD-640E-4801-8D32-2E7A027AD9EC}" type="sibTrans" cxnId="{78514D62-3018-4C54-BA85-953D47B75321}">
      <dgm:prSet/>
      <dgm:spPr/>
      <dgm:t>
        <a:bodyPr/>
        <a:lstStyle/>
        <a:p>
          <a:endParaRPr lang="en-US"/>
        </a:p>
      </dgm:t>
    </dgm:pt>
    <dgm:pt modelId="{A8257C75-6083-40D6-A8A9-C040DD6E1A8B}">
      <dgm:prSet phldrT="[Text]" custT="1"/>
      <dgm:spPr/>
      <dgm:t>
        <a:bodyPr/>
        <a:lstStyle/>
        <a:p>
          <a:r>
            <a:rPr lang="en-US" sz="800" b="1"/>
            <a:t>Rounds</a:t>
          </a:r>
        </a:p>
      </dgm:t>
    </dgm:pt>
    <dgm:pt modelId="{46753A2A-0662-4E11-A1A1-9A6D076072D3}" type="parTrans" cxnId="{1A561DB1-FFA3-4217-837D-1D42508519DA}">
      <dgm:prSet/>
      <dgm:spPr/>
      <dgm:t>
        <a:bodyPr/>
        <a:lstStyle/>
        <a:p>
          <a:endParaRPr lang="en-US"/>
        </a:p>
      </dgm:t>
    </dgm:pt>
    <dgm:pt modelId="{3FB0137C-5107-4267-9C3A-3C32C3B3CD22}" type="sibTrans" cxnId="{1A561DB1-FFA3-4217-837D-1D42508519DA}">
      <dgm:prSet/>
      <dgm:spPr/>
      <dgm:t>
        <a:bodyPr/>
        <a:lstStyle/>
        <a:p>
          <a:endParaRPr lang="en-US"/>
        </a:p>
      </dgm:t>
    </dgm:pt>
    <dgm:pt modelId="{24AA6174-1931-4669-A8E8-47C7AD017C73}">
      <dgm:prSet phldrT="[Text]" custT="1"/>
      <dgm:spPr/>
      <dgm:t>
        <a:bodyPr/>
        <a:lstStyle/>
        <a:p>
          <a:r>
            <a:rPr lang="en-US" sz="800" b="1"/>
            <a:t>Speed</a:t>
          </a:r>
          <a:br>
            <a:rPr lang="en-US" sz="800"/>
          </a:br>
          <a:r>
            <a:rPr lang="en-US" sz="700"/>
            <a:t>arm actuation speed</a:t>
          </a:r>
        </a:p>
      </dgm:t>
    </dgm:pt>
    <dgm:pt modelId="{3B1EE30C-47F7-4F4E-982F-3EA8EAF5B154}" type="parTrans" cxnId="{CB23C072-13B9-4631-B0E3-9237E7B2305B}">
      <dgm:prSet/>
      <dgm:spPr/>
      <dgm:t>
        <a:bodyPr/>
        <a:lstStyle/>
        <a:p>
          <a:endParaRPr lang="en-US"/>
        </a:p>
      </dgm:t>
    </dgm:pt>
    <dgm:pt modelId="{6EB1EB84-A2C0-4E02-B9E9-4592A1FC031A}" type="sibTrans" cxnId="{CB23C072-13B9-4631-B0E3-9237E7B2305B}">
      <dgm:prSet/>
      <dgm:spPr/>
      <dgm:t>
        <a:bodyPr/>
        <a:lstStyle/>
        <a:p>
          <a:endParaRPr lang="en-US"/>
        </a:p>
      </dgm:t>
    </dgm:pt>
    <dgm:pt modelId="{32594B73-6901-4C99-B9B8-E4F4905C3321}">
      <dgm:prSet phldrT="[Text]" custT="1"/>
      <dgm:spPr/>
      <dgm:t>
        <a:bodyPr/>
        <a:lstStyle/>
        <a:p>
          <a:r>
            <a:rPr lang="en-US" sz="700"/>
            <a:t>1 to 12 (slider)</a:t>
          </a:r>
        </a:p>
      </dgm:t>
    </dgm:pt>
    <dgm:pt modelId="{3EC0ACF3-9387-4BC0-8395-CFBDF6108E0A}" type="parTrans" cxnId="{D226628D-429B-4C04-AF6C-5CA9B95E3006}">
      <dgm:prSet/>
      <dgm:spPr/>
      <dgm:t>
        <a:bodyPr/>
        <a:lstStyle/>
        <a:p>
          <a:endParaRPr lang="en-US"/>
        </a:p>
      </dgm:t>
    </dgm:pt>
    <dgm:pt modelId="{83D65528-8CC4-4341-BA9D-21B54E747601}" type="sibTrans" cxnId="{D226628D-429B-4C04-AF6C-5CA9B95E3006}">
      <dgm:prSet/>
      <dgm:spPr/>
      <dgm:t>
        <a:bodyPr/>
        <a:lstStyle/>
        <a:p>
          <a:endParaRPr lang="en-US"/>
        </a:p>
      </dgm:t>
    </dgm:pt>
    <dgm:pt modelId="{806C3E0D-CAF5-4BDA-AED4-2FE6C112027C}">
      <dgm:prSet phldrT="[Text]" custT="1"/>
      <dgm:spPr/>
      <dgm:t>
        <a:bodyPr/>
        <a:lstStyle/>
        <a:p>
          <a:r>
            <a:rPr lang="en-US" sz="700"/>
            <a:t>50%</a:t>
          </a:r>
        </a:p>
      </dgm:t>
    </dgm:pt>
    <dgm:pt modelId="{D355EEF8-428D-41BF-A161-F837C130A699}" type="parTrans" cxnId="{B3825F7D-BDDC-484C-A08B-7B335E2FCAD4}">
      <dgm:prSet/>
      <dgm:spPr/>
      <dgm:t>
        <a:bodyPr/>
        <a:lstStyle/>
        <a:p>
          <a:endParaRPr lang="en-US"/>
        </a:p>
      </dgm:t>
    </dgm:pt>
    <dgm:pt modelId="{100CACD0-657E-4E23-9730-7DC62B4267B1}" type="sibTrans" cxnId="{B3825F7D-BDDC-484C-A08B-7B335E2FCAD4}">
      <dgm:prSet/>
      <dgm:spPr/>
      <dgm:t>
        <a:bodyPr/>
        <a:lstStyle/>
        <a:p>
          <a:endParaRPr lang="en-US"/>
        </a:p>
      </dgm:t>
    </dgm:pt>
    <dgm:pt modelId="{8CEBBDC0-7D50-4752-9EF3-4DB4BE315394}">
      <dgm:prSet phldrT="[Text]" custT="1"/>
      <dgm:spPr/>
      <dgm:t>
        <a:bodyPr/>
        <a:lstStyle/>
        <a:p>
          <a:r>
            <a:rPr lang="en-US" sz="700"/>
            <a:t>75%</a:t>
          </a:r>
        </a:p>
      </dgm:t>
    </dgm:pt>
    <dgm:pt modelId="{CD38772C-9D81-44C2-99B9-A1492C9FD469}" type="parTrans" cxnId="{0756DAC8-4508-42AC-B0B2-CA3F19144354}">
      <dgm:prSet/>
      <dgm:spPr/>
      <dgm:t>
        <a:bodyPr/>
        <a:lstStyle/>
        <a:p>
          <a:endParaRPr lang="en-US"/>
        </a:p>
      </dgm:t>
    </dgm:pt>
    <dgm:pt modelId="{2474DB33-713C-4534-8643-3D59E0DE4540}" type="sibTrans" cxnId="{0756DAC8-4508-42AC-B0B2-CA3F19144354}">
      <dgm:prSet/>
      <dgm:spPr/>
      <dgm:t>
        <a:bodyPr/>
        <a:lstStyle/>
        <a:p>
          <a:endParaRPr lang="en-US"/>
        </a:p>
      </dgm:t>
    </dgm:pt>
    <dgm:pt modelId="{2B1D055E-0FA2-4154-9604-85ADAF1D1B7A}">
      <dgm:prSet phldrT="[Text]" custT="1"/>
      <dgm:spPr/>
      <dgm:t>
        <a:bodyPr/>
        <a:lstStyle/>
        <a:p>
          <a:r>
            <a:rPr lang="en-US" sz="700"/>
            <a:t>100%</a:t>
          </a:r>
        </a:p>
      </dgm:t>
    </dgm:pt>
    <dgm:pt modelId="{6C766D1B-48DD-4083-A1E1-2B25F79CBCA9}" type="parTrans" cxnId="{EF847171-CFF0-44E3-B27A-180550028E61}">
      <dgm:prSet/>
      <dgm:spPr/>
      <dgm:t>
        <a:bodyPr/>
        <a:lstStyle/>
        <a:p>
          <a:endParaRPr lang="en-US"/>
        </a:p>
      </dgm:t>
    </dgm:pt>
    <dgm:pt modelId="{3432B6BE-A776-445E-A605-FA219944F9F5}" type="sibTrans" cxnId="{EF847171-CFF0-44E3-B27A-180550028E61}">
      <dgm:prSet/>
      <dgm:spPr/>
      <dgm:t>
        <a:bodyPr/>
        <a:lstStyle/>
        <a:p>
          <a:endParaRPr lang="en-US"/>
        </a:p>
      </dgm:t>
    </dgm:pt>
    <dgm:pt modelId="{E0D7158E-67D7-4A67-9227-02721D2DA146}">
      <dgm:prSet phldrT="[Text]" custT="1"/>
      <dgm:spPr/>
      <dgm:t>
        <a:bodyPr/>
        <a:lstStyle/>
        <a:p>
          <a:r>
            <a:rPr lang="en-US" sz="700"/>
            <a:t>1:30</a:t>
          </a:r>
        </a:p>
      </dgm:t>
    </dgm:pt>
    <dgm:pt modelId="{A40D56A2-06F8-4243-B41B-A2C39191EB4D}" type="parTrans" cxnId="{FDEDA682-5F6B-431D-A021-7EAD8F0FDE9B}">
      <dgm:prSet/>
      <dgm:spPr/>
      <dgm:t>
        <a:bodyPr/>
        <a:lstStyle/>
        <a:p>
          <a:endParaRPr lang="en-US"/>
        </a:p>
      </dgm:t>
    </dgm:pt>
    <dgm:pt modelId="{FFDEA3B8-80F6-4B3B-B51C-73232B758B5C}" type="sibTrans" cxnId="{FDEDA682-5F6B-431D-A021-7EAD8F0FDE9B}">
      <dgm:prSet/>
      <dgm:spPr/>
      <dgm:t>
        <a:bodyPr/>
        <a:lstStyle/>
        <a:p>
          <a:endParaRPr lang="en-US"/>
        </a:p>
      </dgm:t>
    </dgm:pt>
    <dgm:pt modelId="{F313103F-91E5-4C39-BB16-3D113D62BF02}">
      <dgm:prSet phldrT="[Text]" custT="1"/>
      <dgm:spPr/>
      <dgm:t>
        <a:bodyPr/>
        <a:lstStyle/>
        <a:p>
          <a:r>
            <a:rPr lang="en-US" sz="700"/>
            <a:t>2:00</a:t>
          </a:r>
        </a:p>
      </dgm:t>
    </dgm:pt>
    <dgm:pt modelId="{71EEAFB1-2DC3-49FE-8EAD-20F06355E326}" type="parTrans" cxnId="{13D9CC3A-BDFE-412D-A5E5-C8EA3DCFEA8C}">
      <dgm:prSet/>
      <dgm:spPr/>
      <dgm:t>
        <a:bodyPr/>
        <a:lstStyle/>
        <a:p>
          <a:endParaRPr lang="en-US"/>
        </a:p>
      </dgm:t>
    </dgm:pt>
    <dgm:pt modelId="{22ADDBC1-D01B-4B4D-B69F-6F2A114362F2}" type="sibTrans" cxnId="{13D9CC3A-BDFE-412D-A5E5-C8EA3DCFEA8C}">
      <dgm:prSet/>
      <dgm:spPr/>
      <dgm:t>
        <a:bodyPr/>
        <a:lstStyle/>
        <a:p>
          <a:endParaRPr lang="en-US"/>
        </a:p>
      </dgm:t>
    </dgm:pt>
    <dgm:pt modelId="{09A99F66-F4A3-4BFC-A2C1-BC485CD0F0B5}">
      <dgm:prSet phldrT="[Text]" custT="1"/>
      <dgm:spPr/>
      <dgm:t>
        <a:bodyPr/>
        <a:lstStyle/>
        <a:p>
          <a:r>
            <a:rPr lang="en-US" sz="700"/>
            <a:t>3:00</a:t>
          </a:r>
        </a:p>
      </dgm:t>
    </dgm:pt>
    <dgm:pt modelId="{0A3364BE-FC07-4F21-96BC-145D80AF3623}" type="parTrans" cxnId="{E65BF717-F670-4F84-B6BD-182282245C5D}">
      <dgm:prSet/>
      <dgm:spPr/>
      <dgm:t>
        <a:bodyPr/>
        <a:lstStyle/>
        <a:p>
          <a:endParaRPr lang="en-US"/>
        </a:p>
      </dgm:t>
    </dgm:pt>
    <dgm:pt modelId="{0C663950-07F6-41D8-86BB-8EF15213E2A6}" type="sibTrans" cxnId="{E65BF717-F670-4F84-B6BD-182282245C5D}">
      <dgm:prSet/>
      <dgm:spPr/>
      <dgm:t>
        <a:bodyPr/>
        <a:lstStyle/>
        <a:p>
          <a:endParaRPr lang="en-US"/>
        </a:p>
      </dgm:t>
    </dgm:pt>
    <dgm:pt modelId="{EF7BE47F-C1D0-4C58-BAA1-A8766EC87F04}">
      <dgm:prSet phldrT="[Text]" custT="1"/>
      <dgm:spPr/>
      <dgm:t>
        <a:bodyPr/>
        <a:lstStyle/>
        <a:p>
          <a:r>
            <a:rPr lang="en-US" sz="700"/>
            <a:t>1:00</a:t>
          </a:r>
        </a:p>
      </dgm:t>
    </dgm:pt>
    <dgm:pt modelId="{72892D38-CBF8-4A31-A806-F0690B5D1489}" type="parTrans" cxnId="{D7D5F2CC-E2D8-475F-9491-6B36DEFDD5FD}">
      <dgm:prSet/>
      <dgm:spPr/>
      <dgm:t>
        <a:bodyPr/>
        <a:lstStyle/>
        <a:p>
          <a:endParaRPr lang="en-US"/>
        </a:p>
      </dgm:t>
    </dgm:pt>
    <dgm:pt modelId="{88EE6E5C-9A94-418A-8597-163F726EF06E}" type="sibTrans" cxnId="{D7D5F2CC-E2D8-475F-9491-6B36DEFDD5FD}">
      <dgm:prSet/>
      <dgm:spPr/>
      <dgm:t>
        <a:bodyPr/>
        <a:lstStyle/>
        <a:p>
          <a:endParaRPr lang="en-US"/>
        </a:p>
      </dgm:t>
    </dgm:pt>
    <dgm:pt modelId="{23BBFA85-6104-4A97-8F78-E82E909B69BD}">
      <dgm:prSet phldrT="[Text]" custT="1"/>
      <dgm:spPr/>
      <dgm:t>
        <a:bodyPr/>
        <a:lstStyle/>
        <a:p>
          <a:r>
            <a:rPr lang="en-US" sz="700"/>
            <a:t>2: Fixed intervals of 2-4 random punches</a:t>
          </a:r>
        </a:p>
      </dgm:t>
    </dgm:pt>
    <dgm:pt modelId="{39CD6766-2B5E-4D8E-ABA1-B3B25EE689E3}" type="parTrans" cxnId="{A8E6450F-27B9-443F-A99B-EC4E4E8FCC10}">
      <dgm:prSet/>
      <dgm:spPr/>
      <dgm:t>
        <a:bodyPr/>
        <a:lstStyle/>
        <a:p>
          <a:endParaRPr lang="en-US"/>
        </a:p>
      </dgm:t>
    </dgm:pt>
    <dgm:pt modelId="{FA81D10B-5BF6-4D33-B969-AEF08A3BF2CA}" type="sibTrans" cxnId="{A8E6450F-27B9-443F-A99B-EC4E4E8FCC10}">
      <dgm:prSet/>
      <dgm:spPr/>
      <dgm:t>
        <a:bodyPr/>
        <a:lstStyle/>
        <a:p>
          <a:endParaRPr lang="en-US"/>
        </a:p>
      </dgm:t>
    </dgm:pt>
    <dgm:pt modelId="{52969E13-1B00-402C-83B7-07297354394B}">
      <dgm:prSet phldrT="[Text]" custT="1"/>
      <dgm:spPr/>
      <dgm:t>
        <a:bodyPr/>
        <a:lstStyle/>
        <a:p>
          <a:r>
            <a:rPr lang="en-US" sz="700"/>
            <a:t>3: Fixed intervals of 2-6 random punches</a:t>
          </a:r>
        </a:p>
      </dgm:t>
    </dgm:pt>
    <dgm:pt modelId="{79782BCC-A4F1-47D9-B04C-8C2309AEE177}" type="parTrans" cxnId="{0496C5E1-9340-4B43-BC7F-06808254FE3C}">
      <dgm:prSet/>
      <dgm:spPr/>
      <dgm:t>
        <a:bodyPr/>
        <a:lstStyle/>
        <a:p>
          <a:endParaRPr lang="en-US"/>
        </a:p>
      </dgm:t>
    </dgm:pt>
    <dgm:pt modelId="{449E54EE-4E68-4E9B-9095-BF496E9EE6EE}" type="sibTrans" cxnId="{0496C5E1-9340-4B43-BC7F-06808254FE3C}">
      <dgm:prSet/>
      <dgm:spPr/>
      <dgm:t>
        <a:bodyPr/>
        <a:lstStyle/>
        <a:p>
          <a:endParaRPr lang="en-US"/>
        </a:p>
      </dgm:t>
    </dgm:pt>
    <dgm:pt modelId="{E5CCB424-925B-41F0-BAAA-30BC87F41F1D}">
      <dgm:prSet phldrT="[Text]" custT="1"/>
      <dgm:spPr/>
      <dgm:t>
        <a:bodyPr/>
        <a:lstStyle/>
        <a:p>
          <a:r>
            <a:rPr lang="en-US" sz="700"/>
            <a:t>0:30</a:t>
          </a:r>
        </a:p>
      </dgm:t>
    </dgm:pt>
    <dgm:pt modelId="{79E96F2F-2306-4B5C-AC22-3C69A21D5CA2}" type="parTrans" cxnId="{028D958E-83AE-4167-B7EC-B7F911249055}">
      <dgm:prSet/>
      <dgm:spPr/>
      <dgm:t>
        <a:bodyPr/>
        <a:lstStyle/>
        <a:p>
          <a:endParaRPr lang="en-US"/>
        </a:p>
      </dgm:t>
    </dgm:pt>
    <dgm:pt modelId="{B03BFC60-D4AF-4C53-A8B2-304214861CB3}" type="sibTrans" cxnId="{028D958E-83AE-4167-B7EC-B7F911249055}">
      <dgm:prSet/>
      <dgm:spPr/>
      <dgm:t>
        <a:bodyPr/>
        <a:lstStyle/>
        <a:p>
          <a:endParaRPr lang="en-US"/>
        </a:p>
      </dgm:t>
    </dgm:pt>
    <dgm:pt modelId="{4DCB9722-41EB-480C-BF1A-FBE7008926B7}">
      <dgm:prSet phldrT="[Text]" custT="1"/>
      <dgm:spPr/>
      <dgm:t>
        <a:bodyPr/>
        <a:lstStyle/>
        <a:p>
          <a:r>
            <a:rPr lang="en-US" sz="700"/>
            <a:t>0:45</a:t>
          </a:r>
        </a:p>
      </dgm:t>
    </dgm:pt>
    <dgm:pt modelId="{61238695-2CC9-43A0-A847-24FAA827AEDF}" type="parTrans" cxnId="{7C47E98B-0187-4291-9668-563BA076C8BC}">
      <dgm:prSet/>
      <dgm:spPr/>
      <dgm:t>
        <a:bodyPr/>
        <a:lstStyle/>
        <a:p>
          <a:endParaRPr lang="en-US"/>
        </a:p>
      </dgm:t>
    </dgm:pt>
    <dgm:pt modelId="{2DE0E9E5-F257-4058-B62F-B36B7500A3D4}" type="sibTrans" cxnId="{7C47E98B-0187-4291-9668-563BA076C8BC}">
      <dgm:prSet/>
      <dgm:spPr/>
      <dgm:t>
        <a:bodyPr/>
        <a:lstStyle/>
        <a:p>
          <a:endParaRPr lang="en-US"/>
        </a:p>
      </dgm:t>
    </dgm:pt>
    <dgm:pt modelId="{81BCE850-1B31-4811-BCD8-D8B28E4EBFDE}">
      <dgm:prSet phldrT="[Text]" custT="1"/>
      <dgm:spPr/>
      <dgm:t>
        <a:bodyPr/>
        <a:lstStyle/>
        <a:p>
          <a:r>
            <a:rPr lang="en-US" sz="700"/>
            <a:t>1:00</a:t>
          </a:r>
        </a:p>
      </dgm:t>
    </dgm:pt>
    <dgm:pt modelId="{B90C8B5F-5EEF-407A-ADC1-15F9BD5EF8F4}" type="parTrans" cxnId="{72B9777F-E6CB-45E8-A488-AAD59181CC20}">
      <dgm:prSet/>
      <dgm:spPr/>
      <dgm:t>
        <a:bodyPr/>
        <a:lstStyle/>
        <a:p>
          <a:endParaRPr lang="en-US"/>
        </a:p>
      </dgm:t>
    </dgm:pt>
    <dgm:pt modelId="{3810C1FC-C89E-464C-AB90-E035D4EFF1B9}" type="sibTrans" cxnId="{72B9777F-E6CB-45E8-A488-AAD59181CC20}">
      <dgm:prSet/>
      <dgm:spPr/>
      <dgm:t>
        <a:bodyPr/>
        <a:lstStyle/>
        <a:p>
          <a:endParaRPr lang="en-US"/>
        </a:p>
      </dgm:t>
    </dgm:pt>
    <dgm:pt modelId="{45F3BCC3-4660-4C41-8275-98F46E4B624F}">
      <dgm:prSet phldrT="[Text]" custT="1"/>
      <dgm:spPr/>
      <dgm:t>
        <a:bodyPr/>
        <a:lstStyle/>
        <a:p>
          <a:r>
            <a:rPr lang="en-US" sz="800" b="1"/>
            <a:t>Counter</a:t>
          </a:r>
        </a:p>
      </dgm:t>
    </dgm:pt>
    <dgm:pt modelId="{2029CCCE-1F4C-428A-8932-6F8EE10A5DAA}" type="parTrans" cxnId="{773DD209-6557-429C-8728-C9ECC45C42AA}">
      <dgm:prSet/>
      <dgm:spPr/>
      <dgm:t>
        <a:bodyPr/>
        <a:lstStyle/>
        <a:p>
          <a:endParaRPr lang="en-US"/>
        </a:p>
      </dgm:t>
    </dgm:pt>
    <dgm:pt modelId="{1ACC263B-2BFF-4AB4-ACFA-7CE317B80EE7}" type="sibTrans" cxnId="{773DD209-6557-429C-8728-C9ECC45C42AA}">
      <dgm:prSet/>
      <dgm:spPr/>
      <dgm:t>
        <a:bodyPr/>
        <a:lstStyle/>
        <a:p>
          <a:endParaRPr lang="en-US"/>
        </a:p>
      </dgm:t>
    </dgm:pt>
    <dgm:pt modelId="{9F81D7FE-7C8E-4DDD-9021-BDBE901382BB}">
      <dgm:prSet phldrT="[Text]" custT="1"/>
      <dgm:spPr/>
      <dgm:t>
        <a:bodyPr/>
        <a:lstStyle/>
        <a:p>
          <a:r>
            <a:rPr lang="en-US" sz="700"/>
            <a:t>ON</a:t>
          </a:r>
        </a:p>
      </dgm:t>
    </dgm:pt>
    <dgm:pt modelId="{BBD41DFB-C695-4CBB-A127-65AB4FBB61C4}" type="parTrans" cxnId="{A6655BFD-FDAD-43C8-9AEE-210924299A1B}">
      <dgm:prSet/>
      <dgm:spPr/>
      <dgm:t>
        <a:bodyPr/>
        <a:lstStyle/>
        <a:p>
          <a:endParaRPr lang="en-US"/>
        </a:p>
      </dgm:t>
    </dgm:pt>
    <dgm:pt modelId="{D685001B-234B-4FEB-B860-7D0020353BC9}" type="sibTrans" cxnId="{A6655BFD-FDAD-43C8-9AEE-210924299A1B}">
      <dgm:prSet/>
      <dgm:spPr/>
      <dgm:t>
        <a:bodyPr/>
        <a:lstStyle/>
        <a:p>
          <a:endParaRPr lang="en-US"/>
        </a:p>
      </dgm:t>
    </dgm:pt>
    <dgm:pt modelId="{E7891865-AC87-479E-9820-662B8AC51F36}">
      <dgm:prSet phldrT="[Text]" custT="1"/>
      <dgm:spPr/>
      <dgm:t>
        <a:bodyPr/>
        <a:lstStyle/>
        <a:p>
          <a:r>
            <a:rPr lang="en-US" sz="700"/>
            <a:t>OFF</a:t>
          </a:r>
        </a:p>
      </dgm:t>
    </dgm:pt>
    <dgm:pt modelId="{AA17B3AE-4E59-4921-8099-86B94E7ED698}" type="parTrans" cxnId="{E29616C9-3484-41A3-83DB-4351AE1D9AD1}">
      <dgm:prSet/>
      <dgm:spPr/>
      <dgm:t>
        <a:bodyPr/>
        <a:lstStyle/>
        <a:p>
          <a:endParaRPr lang="en-US"/>
        </a:p>
      </dgm:t>
    </dgm:pt>
    <dgm:pt modelId="{FF7AB592-B249-4D6F-A470-2363371B1239}" type="sibTrans" cxnId="{E29616C9-3484-41A3-83DB-4351AE1D9AD1}">
      <dgm:prSet/>
      <dgm:spPr/>
      <dgm:t>
        <a:bodyPr/>
        <a:lstStyle/>
        <a:p>
          <a:endParaRPr lang="en-US"/>
        </a:p>
      </dgm:t>
    </dgm:pt>
    <dgm:pt modelId="{D6024656-CFC1-494F-9B3C-6D48C50548CC}">
      <dgm:prSet phldrT="[Text]" custT="1"/>
      <dgm:spPr/>
      <dgm:t>
        <a:bodyPr/>
        <a:lstStyle/>
        <a:p>
          <a:r>
            <a:rPr lang="en-US" sz="700"/>
            <a:t>Robot in State: </a:t>
          </a:r>
          <a:r>
            <a:rPr lang="en-US" sz="700" b="1"/>
            <a:t>Attack</a:t>
          </a:r>
          <a:endParaRPr lang="en-US" sz="700"/>
        </a:p>
      </dgm:t>
    </dgm:pt>
    <dgm:pt modelId="{53561E31-B59C-4469-8218-430DD5312286}" type="parTrans" cxnId="{6FBB6ADF-4B42-44B8-9497-139488DFB0A3}">
      <dgm:prSet/>
      <dgm:spPr/>
      <dgm:t>
        <a:bodyPr/>
        <a:lstStyle/>
        <a:p>
          <a:endParaRPr lang="en-US"/>
        </a:p>
      </dgm:t>
    </dgm:pt>
    <dgm:pt modelId="{CC2571B6-2E98-42FE-A6F3-47DFBDDFA3E8}" type="sibTrans" cxnId="{6FBB6ADF-4B42-44B8-9497-139488DFB0A3}">
      <dgm:prSet/>
      <dgm:spPr/>
      <dgm:t>
        <a:bodyPr/>
        <a:lstStyle/>
        <a:p>
          <a:endParaRPr lang="en-US"/>
        </a:p>
      </dgm:t>
    </dgm:pt>
    <dgm:pt modelId="{FF416919-883D-4ECF-A12F-B342B1102C81}">
      <dgm:prSet phldrT="[Text]" custT="1"/>
      <dgm:spPr/>
      <dgm:t>
        <a:bodyPr/>
        <a:lstStyle/>
        <a:p>
          <a:r>
            <a:rPr lang="en-US" sz="700"/>
            <a:t>Robot in State: </a:t>
          </a:r>
          <a:r>
            <a:rPr lang="en-US" sz="700" b="1"/>
            <a:t>Attack + Counter</a:t>
          </a:r>
        </a:p>
      </dgm:t>
    </dgm:pt>
    <dgm:pt modelId="{4D5DA707-66C0-452B-9CF5-087CE8BA0E32}" type="parTrans" cxnId="{1EE152F2-F479-4E23-9EC9-71B1A7619895}">
      <dgm:prSet/>
      <dgm:spPr/>
      <dgm:t>
        <a:bodyPr/>
        <a:lstStyle/>
        <a:p>
          <a:endParaRPr lang="en-US"/>
        </a:p>
      </dgm:t>
    </dgm:pt>
    <dgm:pt modelId="{2E19E9A7-4860-4432-AA66-2E2F0DBBFF26}" type="sibTrans" cxnId="{1EE152F2-F479-4E23-9EC9-71B1A7619895}">
      <dgm:prSet/>
      <dgm:spPr/>
      <dgm:t>
        <a:bodyPr/>
        <a:lstStyle/>
        <a:p>
          <a:endParaRPr lang="en-US"/>
        </a:p>
      </dgm:t>
    </dgm:pt>
    <dgm:pt modelId="{F1263B72-679E-4CBA-9B07-193AB325454C}">
      <dgm:prSet phldrT="[Text]" custT="1"/>
      <dgm:spPr/>
      <dgm:t>
        <a:bodyPr/>
        <a:lstStyle/>
        <a:p>
          <a:r>
            <a:rPr lang="en-US" sz="700" b="1"/>
            <a:t>Sense distance + direction &amp; punch type</a:t>
          </a:r>
        </a:p>
      </dgm:t>
    </dgm:pt>
    <dgm:pt modelId="{E883A15A-DC1D-4A42-A99D-2398F0C86902}" type="parTrans" cxnId="{40E2C9B8-C794-4F80-8A5C-5BD13C26464D}">
      <dgm:prSet/>
      <dgm:spPr/>
      <dgm:t>
        <a:bodyPr/>
        <a:lstStyle/>
        <a:p>
          <a:endParaRPr lang="en-US"/>
        </a:p>
      </dgm:t>
    </dgm:pt>
    <dgm:pt modelId="{01B29C51-4DA9-49BC-A268-87A448A80484}" type="sibTrans" cxnId="{40E2C9B8-C794-4F80-8A5C-5BD13C26464D}">
      <dgm:prSet/>
      <dgm:spPr/>
      <dgm:t>
        <a:bodyPr/>
        <a:lstStyle/>
        <a:p>
          <a:endParaRPr lang="en-US"/>
        </a:p>
      </dgm:t>
    </dgm:pt>
    <dgm:pt modelId="{E50B5404-86F3-4BBA-B2FD-96644CBF78ED}">
      <dgm:prSet phldrT="[Text]" custT="1"/>
      <dgm:spPr/>
      <dgm:t>
        <a:bodyPr/>
        <a:lstStyle/>
        <a:p>
          <a:r>
            <a:rPr lang="en-US" sz="700" b="1"/>
            <a:t>Sense distance + direction </a:t>
          </a:r>
          <a:endParaRPr lang="en-US" sz="700"/>
        </a:p>
      </dgm:t>
    </dgm:pt>
    <dgm:pt modelId="{8B349926-6E75-4201-89A1-1A111F97E79E}" type="parTrans" cxnId="{E724DC37-89A1-41E7-B1D0-8B907A5016B6}">
      <dgm:prSet/>
      <dgm:spPr/>
      <dgm:t>
        <a:bodyPr/>
        <a:lstStyle/>
        <a:p>
          <a:endParaRPr lang="en-US"/>
        </a:p>
      </dgm:t>
    </dgm:pt>
    <dgm:pt modelId="{17A1B40D-BECC-4338-8232-B308B3359F97}" type="sibTrans" cxnId="{E724DC37-89A1-41E7-B1D0-8B907A5016B6}">
      <dgm:prSet/>
      <dgm:spPr/>
      <dgm:t>
        <a:bodyPr/>
        <a:lstStyle/>
        <a:p>
          <a:endParaRPr lang="en-US"/>
        </a:p>
      </dgm:t>
    </dgm:pt>
    <dgm:pt modelId="{3FE39248-0E9B-45F1-8363-915D46B7DD43}">
      <dgm:prSet phldrT="[Text]" custT="1"/>
      <dgm:spPr/>
      <dgm:t>
        <a:bodyPr/>
        <a:lstStyle/>
        <a:p>
          <a:r>
            <a:rPr lang="en-US" sz="700"/>
            <a:t>Attack = With random </a:t>
          </a:r>
          <a:r>
            <a:rPr lang="en-US" sz="700" b="1"/>
            <a:t>punches/footwork</a:t>
          </a:r>
          <a:r>
            <a:rPr lang="en-US" sz="700" b="0"/>
            <a:t>; no sensing of user's actions.</a:t>
          </a:r>
        </a:p>
      </dgm:t>
    </dgm:pt>
    <dgm:pt modelId="{299F786D-5692-4E27-900E-F283D331BE6C}" type="parTrans" cxnId="{9C7C4A1E-CB69-4514-8D0B-A5E49D82B24C}">
      <dgm:prSet/>
      <dgm:spPr/>
      <dgm:t>
        <a:bodyPr/>
        <a:lstStyle/>
        <a:p>
          <a:endParaRPr lang="en-US"/>
        </a:p>
      </dgm:t>
    </dgm:pt>
    <dgm:pt modelId="{EA78294E-2403-4478-9E14-4ADA82A5D08D}" type="sibTrans" cxnId="{9C7C4A1E-CB69-4514-8D0B-A5E49D82B24C}">
      <dgm:prSet/>
      <dgm:spPr/>
      <dgm:t>
        <a:bodyPr/>
        <a:lstStyle/>
        <a:p>
          <a:endParaRPr lang="en-US"/>
        </a:p>
      </dgm:t>
    </dgm:pt>
    <dgm:pt modelId="{5BCAE71C-2382-43E1-BC1F-187AA6859BDC}">
      <dgm:prSet phldrT="[Text]" custT="1"/>
      <dgm:spPr/>
      <dgm:t>
        <a:bodyPr/>
        <a:lstStyle/>
        <a:p>
          <a:r>
            <a:rPr lang="en-US" sz="700" b="0"/>
            <a:t>Counter = Based on Decision Tree:</a:t>
          </a:r>
        </a:p>
      </dgm:t>
    </dgm:pt>
    <dgm:pt modelId="{3D12E1D8-7327-4701-B123-7EEB420863E5}" type="parTrans" cxnId="{3AAB2B1E-5CF6-42FF-87CB-6F77103855E1}">
      <dgm:prSet/>
      <dgm:spPr/>
      <dgm:t>
        <a:bodyPr/>
        <a:lstStyle/>
        <a:p>
          <a:endParaRPr lang="en-US"/>
        </a:p>
      </dgm:t>
    </dgm:pt>
    <dgm:pt modelId="{0F40F818-1582-4F7B-AF3E-17184C4EDC01}" type="sibTrans" cxnId="{3AAB2B1E-5CF6-42FF-87CB-6F77103855E1}">
      <dgm:prSet/>
      <dgm:spPr/>
      <dgm:t>
        <a:bodyPr/>
        <a:lstStyle/>
        <a:p>
          <a:endParaRPr lang="en-US"/>
        </a:p>
      </dgm:t>
    </dgm:pt>
    <dgm:pt modelId="{4A3DD9CF-720A-44D6-8751-477FDABE7AF6}">
      <dgm:prSet phldrT="[Text]" custT="1"/>
      <dgm:spPr/>
      <dgm:t>
        <a:bodyPr/>
        <a:lstStyle/>
        <a:p>
          <a:r>
            <a:rPr lang="en-US" sz="700" b="0"/>
            <a:t>50% Counter: Anticipates + React</a:t>
          </a:r>
        </a:p>
      </dgm:t>
    </dgm:pt>
    <dgm:pt modelId="{8C00304E-097A-4B52-BEFC-E1ED96DC4D1F}" type="parTrans" cxnId="{13856F52-895B-476B-BAF3-4A94145342B7}">
      <dgm:prSet/>
      <dgm:spPr/>
      <dgm:t>
        <a:bodyPr/>
        <a:lstStyle/>
        <a:p>
          <a:endParaRPr lang="en-US"/>
        </a:p>
      </dgm:t>
    </dgm:pt>
    <dgm:pt modelId="{8EE528A6-FC03-45CC-98A2-C59277700EBB}" type="sibTrans" cxnId="{13856F52-895B-476B-BAF3-4A94145342B7}">
      <dgm:prSet/>
      <dgm:spPr/>
      <dgm:t>
        <a:bodyPr/>
        <a:lstStyle/>
        <a:p>
          <a:endParaRPr lang="en-US"/>
        </a:p>
      </dgm:t>
    </dgm:pt>
    <dgm:pt modelId="{C97DAB7A-CA61-481C-86FC-873464222D79}">
      <dgm:prSet phldrT="[Text]" custT="1"/>
      <dgm:spPr/>
      <dgm:t>
        <a:bodyPr/>
        <a:lstStyle/>
        <a:p>
          <a:r>
            <a:rPr lang="en-US" sz="700" b="0"/>
            <a:t>50% Attack: Random </a:t>
          </a:r>
          <a:r>
            <a:rPr lang="en-US" sz="700" b="1"/>
            <a:t>punches/footwork</a:t>
          </a:r>
        </a:p>
      </dgm:t>
    </dgm:pt>
    <dgm:pt modelId="{B2DBB00D-1720-4492-BA7B-97F923A1D0C1}" type="parTrans" cxnId="{B36A2AD5-35DD-467A-80E8-8B0573531644}">
      <dgm:prSet/>
      <dgm:spPr/>
      <dgm:t>
        <a:bodyPr/>
        <a:lstStyle/>
        <a:p>
          <a:endParaRPr lang="en-US"/>
        </a:p>
      </dgm:t>
    </dgm:pt>
    <dgm:pt modelId="{4835C277-E985-4341-8267-B9632517C4B9}" type="sibTrans" cxnId="{B36A2AD5-35DD-467A-80E8-8B0573531644}">
      <dgm:prSet/>
      <dgm:spPr/>
      <dgm:t>
        <a:bodyPr/>
        <a:lstStyle/>
        <a:p>
          <a:endParaRPr lang="en-US"/>
        </a:p>
      </dgm:t>
    </dgm:pt>
    <dgm:pt modelId="{2CAC73D1-2D15-4F03-9149-015C547DA445}" type="pres">
      <dgm:prSet presAssocID="{E170DEDF-F637-4E76-8653-4164A5E3CC76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5E59B9F8-1980-4DFF-93DD-225542007FFC}" type="pres">
      <dgm:prSet presAssocID="{236ED2A6-C6DE-4AAB-9AE5-9BFC333F8501}" presName="root1" presStyleCnt="0"/>
      <dgm:spPr/>
    </dgm:pt>
    <dgm:pt modelId="{464CEE50-69EF-45B1-855A-76050D10DE58}" type="pres">
      <dgm:prSet presAssocID="{236ED2A6-C6DE-4AAB-9AE5-9BFC333F8501}" presName="LevelOneTextNode" presStyleLbl="node0" presStyleIdx="0" presStyleCnt="1" custScaleX="200380" custScaleY="191780" custLinFactX="-52720" custLinFactNeighborX="-100000">
        <dgm:presLayoutVars>
          <dgm:chPref val="3"/>
        </dgm:presLayoutVars>
      </dgm:prSet>
      <dgm:spPr/>
    </dgm:pt>
    <dgm:pt modelId="{1B64D1BA-C05A-4499-BE69-CF73F548E2F9}" type="pres">
      <dgm:prSet presAssocID="{236ED2A6-C6DE-4AAB-9AE5-9BFC333F8501}" presName="level2hierChild" presStyleCnt="0"/>
      <dgm:spPr/>
    </dgm:pt>
    <dgm:pt modelId="{AAD0B584-E43D-4B20-9050-9D0850085C4F}" type="pres">
      <dgm:prSet presAssocID="{46753A2A-0662-4E11-A1A1-9A6D076072D3}" presName="conn2-1" presStyleLbl="parChTrans1D2" presStyleIdx="0" presStyleCnt="6"/>
      <dgm:spPr/>
    </dgm:pt>
    <dgm:pt modelId="{D2FE820F-46D7-4482-9F24-57E3F5425A0E}" type="pres">
      <dgm:prSet presAssocID="{46753A2A-0662-4E11-A1A1-9A6D076072D3}" presName="connTx" presStyleLbl="parChTrans1D2" presStyleIdx="0" presStyleCnt="6"/>
      <dgm:spPr/>
    </dgm:pt>
    <dgm:pt modelId="{D91B176A-03C9-4546-9684-78412EC22CBC}" type="pres">
      <dgm:prSet presAssocID="{A8257C75-6083-40D6-A8A9-C040DD6E1A8B}" presName="root2" presStyleCnt="0"/>
      <dgm:spPr/>
    </dgm:pt>
    <dgm:pt modelId="{CF1010A8-174A-48A5-B042-AF91FB6863D1}" type="pres">
      <dgm:prSet presAssocID="{A8257C75-6083-40D6-A8A9-C040DD6E1A8B}" presName="LevelTwoTextNode" presStyleLbl="node2" presStyleIdx="0" presStyleCnt="6" custScaleX="243657" custScaleY="215633" custLinFactNeighborX="-42099">
        <dgm:presLayoutVars>
          <dgm:chPref val="3"/>
        </dgm:presLayoutVars>
      </dgm:prSet>
      <dgm:spPr/>
    </dgm:pt>
    <dgm:pt modelId="{18C3CB07-049C-4154-AC4A-95BE7ADC578D}" type="pres">
      <dgm:prSet presAssocID="{A8257C75-6083-40D6-A8A9-C040DD6E1A8B}" presName="level3hierChild" presStyleCnt="0"/>
      <dgm:spPr/>
    </dgm:pt>
    <dgm:pt modelId="{5F3D26C0-B130-4EC4-9A76-DC7E9F3EC1A3}" type="pres">
      <dgm:prSet presAssocID="{3EC0ACF3-9387-4BC0-8395-CFBDF6108E0A}" presName="conn2-1" presStyleLbl="parChTrans1D3" presStyleIdx="0" presStyleCnt="18"/>
      <dgm:spPr/>
    </dgm:pt>
    <dgm:pt modelId="{DEB521C1-7AF7-4AE8-8D8F-BDBD4E46BD80}" type="pres">
      <dgm:prSet presAssocID="{3EC0ACF3-9387-4BC0-8395-CFBDF6108E0A}" presName="connTx" presStyleLbl="parChTrans1D3" presStyleIdx="0" presStyleCnt="18"/>
      <dgm:spPr/>
    </dgm:pt>
    <dgm:pt modelId="{063956C4-5D87-4965-A8D2-CFE1B0EE2463}" type="pres">
      <dgm:prSet presAssocID="{32594B73-6901-4C99-B9B8-E4F4905C3321}" presName="root2" presStyleCnt="0"/>
      <dgm:spPr/>
    </dgm:pt>
    <dgm:pt modelId="{31BB8760-49C1-40F6-B58D-4F5037F5026A}" type="pres">
      <dgm:prSet presAssocID="{32594B73-6901-4C99-B9B8-E4F4905C3321}" presName="LevelTwoTextNode" presStyleLbl="node3" presStyleIdx="0" presStyleCnt="18" custScaleX="175761" custScaleY="108417" custLinFactNeighborX="97645" custLinFactNeighborY="-33889">
        <dgm:presLayoutVars>
          <dgm:chPref val="3"/>
        </dgm:presLayoutVars>
      </dgm:prSet>
      <dgm:spPr/>
    </dgm:pt>
    <dgm:pt modelId="{7A72CA1D-447D-4975-934A-C06729D33B5C}" type="pres">
      <dgm:prSet presAssocID="{32594B73-6901-4C99-B9B8-E4F4905C3321}" presName="level3hierChild" presStyleCnt="0"/>
      <dgm:spPr/>
    </dgm:pt>
    <dgm:pt modelId="{66FDE2CC-C1A8-415F-AF7C-634CA0851C0F}" type="pres">
      <dgm:prSet presAssocID="{3B1EE30C-47F7-4F4E-982F-3EA8EAF5B154}" presName="conn2-1" presStyleLbl="parChTrans1D2" presStyleIdx="1" presStyleCnt="6"/>
      <dgm:spPr/>
    </dgm:pt>
    <dgm:pt modelId="{9D81AA89-4AB9-4B34-A411-AD7C0334CAFC}" type="pres">
      <dgm:prSet presAssocID="{3B1EE30C-47F7-4F4E-982F-3EA8EAF5B154}" presName="connTx" presStyleLbl="parChTrans1D2" presStyleIdx="1" presStyleCnt="6"/>
      <dgm:spPr/>
    </dgm:pt>
    <dgm:pt modelId="{6D8BA564-6818-4B81-BA20-8138CD28B38F}" type="pres">
      <dgm:prSet presAssocID="{24AA6174-1931-4669-A8E8-47C7AD017C73}" presName="root2" presStyleCnt="0"/>
      <dgm:spPr/>
    </dgm:pt>
    <dgm:pt modelId="{D8C6C875-7AAB-4767-9FB9-EC0AB1611730}" type="pres">
      <dgm:prSet presAssocID="{24AA6174-1931-4669-A8E8-47C7AD017C73}" presName="LevelTwoTextNode" presStyleLbl="node2" presStyleIdx="1" presStyleCnt="6" custScaleX="243657" custScaleY="215633" custLinFactNeighborX="-42099">
        <dgm:presLayoutVars>
          <dgm:chPref val="3"/>
        </dgm:presLayoutVars>
      </dgm:prSet>
      <dgm:spPr/>
    </dgm:pt>
    <dgm:pt modelId="{4710E56B-D9D4-45D0-8DA7-4CDD34FA9F09}" type="pres">
      <dgm:prSet presAssocID="{24AA6174-1931-4669-A8E8-47C7AD017C73}" presName="level3hierChild" presStyleCnt="0"/>
      <dgm:spPr/>
    </dgm:pt>
    <dgm:pt modelId="{EACF1505-376F-42E6-870E-D3C358EE8E75}" type="pres">
      <dgm:prSet presAssocID="{7CDA0981-FA2F-43B5-BE8C-EA5648283D5E}" presName="conn2-1" presStyleLbl="parChTrans1D3" presStyleIdx="1" presStyleCnt="18"/>
      <dgm:spPr/>
    </dgm:pt>
    <dgm:pt modelId="{C4B84B1C-5B2F-4246-AF5D-9862D2BA5D35}" type="pres">
      <dgm:prSet presAssocID="{7CDA0981-FA2F-43B5-BE8C-EA5648283D5E}" presName="connTx" presStyleLbl="parChTrans1D3" presStyleIdx="1" presStyleCnt="18"/>
      <dgm:spPr/>
    </dgm:pt>
    <dgm:pt modelId="{B82DC601-5491-410F-9B0B-2DAB07AC0CDF}" type="pres">
      <dgm:prSet presAssocID="{903E8CCA-8E62-4650-8B1C-F02E492E7445}" presName="root2" presStyleCnt="0"/>
      <dgm:spPr/>
    </dgm:pt>
    <dgm:pt modelId="{F21C9C69-83D9-4198-AA3A-4A792948ED35}" type="pres">
      <dgm:prSet presAssocID="{903E8CCA-8E62-4650-8B1C-F02E492E7445}" presName="LevelTwoTextNode" presStyleLbl="node3" presStyleIdx="1" presStyleCnt="18" custScaleX="175761" custScaleY="108417" custLinFactNeighborX="97645" custLinFactNeighborY="-30566">
        <dgm:presLayoutVars>
          <dgm:chPref val="3"/>
        </dgm:presLayoutVars>
      </dgm:prSet>
      <dgm:spPr/>
    </dgm:pt>
    <dgm:pt modelId="{ECF571B8-31FC-47AB-BF6F-3D5F581287E8}" type="pres">
      <dgm:prSet presAssocID="{903E8CCA-8E62-4650-8B1C-F02E492E7445}" presName="level3hierChild" presStyleCnt="0"/>
      <dgm:spPr/>
    </dgm:pt>
    <dgm:pt modelId="{712C809E-B891-46E8-BE08-646A33AB34DF}" type="pres">
      <dgm:prSet presAssocID="{D355EEF8-428D-41BF-A161-F837C130A699}" presName="conn2-1" presStyleLbl="parChTrans1D3" presStyleIdx="2" presStyleCnt="18"/>
      <dgm:spPr/>
    </dgm:pt>
    <dgm:pt modelId="{0969CE22-F7CB-4177-8C67-5F6AF8FE1C85}" type="pres">
      <dgm:prSet presAssocID="{D355EEF8-428D-41BF-A161-F837C130A699}" presName="connTx" presStyleLbl="parChTrans1D3" presStyleIdx="2" presStyleCnt="18"/>
      <dgm:spPr/>
    </dgm:pt>
    <dgm:pt modelId="{E4242134-E309-405B-B1B5-27E270D97CBA}" type="pres">
      <dgm:prSet presAssocID="{806C3E0D-CAF5-4BDA-AED4-2FE6C112027C}" presName="root2" presStyleCnt="0"/>
      <dgm:spPr/>
    </dgm:pt>
    <dgm:pt modelId="{682B2893-B250-4801-9C36-6B4ABE9567BB}" type="pres">
      <dgm:prSet presAssocID="{806C3E0D-CAF5-4BDA-AED4-2FE6C112027C}" presName="LevelTwoTextNode" presStyleLbl="node3" presStyleIdx="2" presStyleCnt="18" custScaleX="175761" custScaleY="108417" custLinFactNeighborX="97645" custLinFactNeighborY="-30566">
        <dgm:presLayoutVars>
          <dgm:chPref val="3"/>
        </dgm:presLayoutVars>
      </dgm:prSet>
      <dgm:spPr/>
    </dgm:pt>
    <dgm:pt modelId="{0DDC1D63-2918-4AD8-BDF0-A5FBD006488B}" type="pres">
      <dgm:prSet presAssocID="{806C3E0D-CAF5-4BDA-AED4-2FE6C112027C}" presName="level3hierChild" presStyleCnt="0"/>
      <dgm:spPr/>
    </dgm:pt>
    <dgm:pt modelId="{61092624-DFE9-4D0D-9453-3F731D7AE8EE}" type="pres">
      <dgm:prSet presAssocID="{CD38772C-9D81-44C2-99B9-A1492C9FD469}" presName="conn2-1" presStyleLbl="parChTrans1D3" presStyleIdx="3" presStyleCnt="18"/>
      <dgm:spPr/>
    </dgm:pt>
    <dgm:pt modelId="{A1DB1586-DD0A-4CC1-98C2-B9685AAF9726}" type="pres">
      <dgm:prSet presAssocID="{CD38772C-9D81-44C2-99B9-A1492C9FD469}" presName="connTx" presStyleLbl="parChTrans1D3" presStyleIdx="3" presStyleCnt="18"/>
      <dgm:spPr/>
    </dgm:pt>
    <dgm:pt modelId="{4A185440-5517-4D81-B208-7D68684AB1D1}" type="pres">
      <dgm:prSet presAssocID="{8CEBBDC0-7D50-4752-9EF3-4DB4BE315394}" presName="root2" presStyleCnt="0"/>
      <dgm:spPr/>
    </dgm:pt>
    <dgm:pt modelId="{31E2E338-3E72-4B42-A017-3574F553601B}" type="pres">
      <dgm:prSet presAssocID="{8CEBBDC0-7D50-4752-9EF3-4DB4BE315394}" presName="LevelTwoTextNode" presStyleLbl="node3" presStyleIdx="3" presStyleCnt="18" custScaleX="175761" custScaleY="108417" custLinFactNeighborX="97645" custLinFactNeighborY="-30566">
        <dgm:presLayoutVars>
          <dgm:chPref val="3"/>
        </dgm:presLayoutVars>
      </dgm:prSet>
      <dgm:spPr/>
    </dgm:pt>
    <dgm:pt modelId="{2760BF6C-3460-4423-BB7B-C97DBAFC73BA}" type="pres">
      <dgm:prSet presAssocID="{8CEBBDC0-7D50-4752-9EF3-4DB4BE315394}" presName="level3hierChild" presStyleCnt="0"/>
      <dgm:spPr/>
    </dgm:pt>
    <dgm:pt modelId="{D598212C-42EB-4708-B451-AC9CA8D44D3E}" type="pres">
      <dgm:prSet presAssocID="{6C766D1B-48DD-4083-A1E1-2B25F79CBCA9}" presName="conn2-1" presStyleLbl="parChTrans1D3" presStyleIdx="4" presStyleCnt="18"/>
      <dgm:spPr/>
    </dgm:pt>
    <dgm:pt modelId="{3A8F84D3-B9BD-4B5E-A91A-1A075C69D4E6}" type="pres">
      <dgm:prSet presAssocID="{6C766D1B-48DD-4083-A1E1-2B25F79CBCA9}" presName="connTx" presStyleLbl="parChTrans1D3" presStyleIdx="4" presStyleCnt="18"/>
      <dgm:spPr/>
    </dgm:pt>
    <dgm:pt modelId="{49CBB78D-CB4C-46B5-9C2A-D9A41751B775}" type="pres">
      <dgm:prSet presAssocID="{2B1D055E-0FA2-4154-9604-85ADAF1D1B7A}" presName="root2" presStyleCnt="0"/>
      <dgm:spPr/>
    </dgm:pt>
    <dgm:pt modelId="{19AF4637-7FEA-4690-A4DD-27D799245FE4}" type="pres">
      <dgm:prSet presAssocID="{2B1D055E-0FA2-4154-9604-85ADAF1D1B7A}" presName="LevelTwoTextNode" presStyleLbl="node3" presStyleIdx="4" presStyleCnt="18" custScaleX="175761" custScaleY="108417" custLinFactNeighborX="97645" custLinFactNeighborY="-30566">
        <dgm:presLayoutVars>
          <dgm:chPref val="3"/>
        </dgm:presLayoutVars>
      </dgm:prSet>
      <dgm:spPr/>
    </dgm:pt>
    <dgm:pt modelId="{6969DA81-0A56-488B-8096-0AA4C5894855}" type="pres">
      <dgm:prSet presAssocID="{2B1D055E-0FA2-4154-9604-85ADAF1D1B7A}" presName="level3hierChild" presStyleCnt="0"/>
      <dgm:spPr/>
    </dgm:pt>
    <dgm:pt modelId="{D975C6DF-1F48-4869-9A53-4384ADD3D3AC}" type="pres">
      <dgm:prSet presAssocID="{B0275BDE-F460-434C-98D1-722E35768086}" presName="conn2-1" presStyleLbl="parChTrans1D2" presStyleIdx="2" presStyleCnt="6"/>
      <dgm:spPr/>
    </dgm:pt>
    <dgm:pt modelId="{5B201AE1-88D7-4797-A05D-15A3C9A9A8B0}" type="pres">
      <dgm:prSet presAssocID="{B0275BDE-F460-434C-98D1-722E35768086}" presName="connTx" presStyleLbl="parChTrans1D2" presStyleIdx="2" presStyleCnt="6"/>
      <dgm:spPr/>
    </dgm:pt>
    <dgm:pt modelId="{A8E6FC06-7A39-4822-9A16-45BCE41332BC}" type="pres">
      <dgm:prSet presAssocID="{6F010CC2-461B-441B-A523-D80765C2839E}" presName="root2" presStyleCnt="0"/>
      <dgm:spPr/>
    </dgm:pt>
    <dgm:pt modelId="{71093D83-133A-452A-B966-7989D6C0947F}" type="pres">
      <dgm:prSet presAssocID="{6F010CC2-461B-441B-A523-D80765C2839E}" presName="LevelTwoTextNode" presStyleLbl="node2" presStyleIdx="2" presStyleCnt="6" custScaleX="243657" custScaleY="215633" custLinFactNeighborX="-42099">
        <dgm:presLayoutVars>
          <dgm:chPref val="3"/>
        </dgm:presLayoutVars>
      </dgm:prSet>
      <dgm:spPr/>
    </dgm:pt>
    <dgm:pt modelId="{B5E457A6-8721-4DDA-8096-A031E69B8981}" type="pres">
      <dgm:prSet presAssocID="{6F010CC2-461B-441B-A523-D80765C2839E}" presName="level3hierChild" presStyleCnt="0"/>
      <dgm:spPr/>
    </dgm:pt>
    <dgm:pt modelId="{9FAF14BE-DF74-49A8-AD28-95432D77EAF5}" type="pres">
      <dgm:prSet presAssocID="{72892D38-CBF8-4A31-A806-F0690B5D1489}" presName="conn2-1" presStyleLbl="parChTrans1D3" presStyleIdx="5" presStyleCnt="18"/>
      <dgm:spPr/>
    </dgm:pt>
    <dgm:pt modelId="{46536611-C4AA-49DF-BE07-07271D10BEC8}" type="pres">
      <dgm:prSet presAssocID="{72892D38-CBF8-4A31-A806-F0690B5D1489}" presName="connTx" presStyleLbl="parChTrans1D3" presStyleIdx="5" presStyleCnt="18"/>
      <dgm:spPr/>
    </dgm:pt>
    <dgm:pt modelId="{988A5806-0253-412D-8BA9-73C43F770F7A}" type="pres">
      <dgm:prSet presAssocID="{EF7BE47F-C1D0-4C58-BAA1-A8766EC87F04}" presName="root2" presStyleCnt="0"/>
      <dgm:spPr/>
    </dgm:pt>
    <dgm:pt modelId="{88E72931-3C73-48FC-ABBC-E416941CD464}" type="pres">
      <dgm:prSet presAssocID="{EF7BE47F-C1D0-4C58-BAA1-A8766EC87F04}" presName="LevelTwoTextNode" presStyleLbl="node3" presStyleIdx="5" presStyleCnt="18" custScaleX="175761" custScaleY="108417" custLinFactNeighborX="97645" custLinFactNeighborY="-30566">
        <dgm:presLayoutVars>
          <dgm:chPref val="3"/>
        </dgm:presLayoutVars>
      </dgm:prSet>
      <dgm:spPr/>
    </dgm:pt>
    <dgm:pt modelId="{BEFB861C-D890-4CC1-9FFB-9B74EFE5D24F}" type="pres">
      <dgm:prSet presAssocID="{EF7BE47F-C1D0-4C58-BAA1-A8766EC87F04}" presName="level3hierChild" presStyleCnt="0"/>
      <dgm:spPr/>
    </dgm:pt>
    <dgm:pt modelId="{46E58718-38C4-44F0-BFB7-0B58D42EC0A4}" type="pres">
      <dgm:prSet presAssocID="{A40D56A2-06F8-4243-B41B-A2C39191EB4D}" presName="conn2-1" presStyleLbl="parChTrans1D3" presStyleIdx="6" presStyleCnt="18"/>
      <dgm:spPr/>
    </dgm:pt>
    <dgm:pt modelId="{FA0AE99B-1671-40ED-8D09-4264DFFA50D1}" type="pres">
      <dgm:prSet presAssocID="{A40D56A2-06F8-4243-B41B-A2C39191EB4D}" presName="connTx" presStyleLbl="parChTrans1D3" presStyleIdx="6" presStyleCnt="18"/>
      <dgm:spPr/>
    </dgm:pt>
    <dgm:pt modelId="{E4B4415B-0E1D-415B-BA4B-F4A1D61E9DA0}" type="pres">
      <dgm:prSet presAssocID="{E0D7158E-67D7-4A67-9227-02721D2DA146}" presName="root2" presStyleCnt="0"/>
      <dgm:spPr/>
    </dgm:pt>
    <dgm:pt modelId="{96ABAD13-D8BE-4D5B-BF3C-E7BC6931C8FA}" type="pres">
      <dgm:prSet presAssocID="{E0D7158E-67D7-4A67-9227-02721D2DA146}" presName="LevelTwoTextNode" presStyleLbl="node3" presStyleIdx="6" presStyleCnt="18" custScaleX="175761" custScaleY="108417" custLinFactNeighborX="97645" custLinFactNeighborY="-30566">
        <dgm:presLayoutVars>
          <dgm:chPref val="3"/>
        </dgm:presLayoutVars>
      </dgm:prSet>
      <dgm:spPr/>
    </dgm:pt>
    <dgm:pt modelId="{6A3E6210-EBE8-408F-9745-B2B3E4B9416E}" type="pres">
      <dgm:prSet presAssocID="{E0D7158E-67D7-4A67-9227-02721D2DA146}" presName="level3hierChild" presStyleCnt="0"/>
      <dgm:spPr/>
    </dgm:pt>
    <dgm:pt modelId="{B6F20738-6DA3-44A4-B2DA-859D352924AC}" type="pres">
      <dgm:prSet presAssocID="{71EEAFB1-2DC3-49FE-8EAD-20F06355E326}" presName="conn2-1" presStyleLbl="parChTrans1D3" presStyleIdx="7" presStyleCnt="18"/>
      <dgm:spPr/>
    </dgm:pt>
    <dgm:pt modelId="{86E63DBD-08D8-46A2-B1B1-92FD928429A1}" type="pres">
      <dgm:prSet presAssocID="{71EEAFB1-2DC3-49FE-8EAD-20F06355E326}" presName="connTx" presStyleLbl="parChTrans1D3" presStyleIdx="7" presStyleCnt="18"/>
      <dgm:spPr/>
    </dgm:pt>
    <dgm:pt modelId="{16E8ED8C-78FE-4393-B809-1C59A91F0051}" type="pres">
      <dgm:prSet presAssocID="{F313103F-91E5-4C39-BB16-3D113D62BF02}" presName="root2" presStyleCnt="0"/>
      <dgm:spPr/>
    </dgm:pt>
    <dgm:pt modelId="{78BC6D7D-B441-494D-B721-D03D80379CF6}" type="pres">
      <dgm:prSet presAssocID="{F313103F-91E5-4C39-BB16-3D113D62BF02}" presName="LevelTwoTextNode" presStyleLbl="node3" presStyleIdx="7" presStyleCnt="18" custScaleX="175761" custScaleY="108417" custLinFactNeighborX="97645" custLinFactNeighborY="-30566">
        <dgm:presLayoutVars>
          <dgm:chPref val="3"/>
        </dgm:presLayoutVars>
      </dgm:prSet>
      <dgm:spPr/>
    </dgm:pt>
    <dgm:pt modelId="{E1F48BF8-B223-495B-97B0-A5F76E728189}" type="pres">
      <dgm:prSet presAssocID="{F313103F-91E5-4C39-BB16-3D113D62BF02}" presName="level3hierChild" presStyleCnt="0"/>
      <dgm:spPr/>
    </dgm:pt>
    <dgm:pt modelId="{6260AF23-FDC1-4CEA-866A-6B88F944EE63}" type="pres">
      <dgm:prSet presAssocID="{0A3364BE-FC07-4F21-96BC-145D80AF3623}" presName="conn2-1" presStyleLbl="parChTrans1D3" presStyleIdx="8" presStyleCnt="18"/>
      <dgm:spPr/>
    </dgm:pt>
    <dgm:pt modelId="{F23F1282-E8A9-42CB-AF86-F1D48DADB0D3}" type="pres">
      <dgm:prSet presAssocID="{0A3364BE-FC07-4F21-96BC-145D80AF3623}" presName="connTx" presStyleLbl="parChTrans1D3" presStyleIdx="8" presStyleCnt="18"/>
      <dgm:spPr/>
    </dgm:pt>
    <dgm:pt modelId="{9F0A78BC-1D7F-4340-928B-302832B76E98}" type="pres">
      <dgm:prSet presAssocID="{09A99F66-F4A3-4BFC-A2C1-BC485CD0F0B5}" presName="root2" presStyleCnt="0"/>
      <dgm:spPr/>
    </dgm:pt>
    <dgm:pt modelId="{64294F35-AEC2-41F2-BD32-9A3D1647D3F5}" type="pres">
      <dgm:prSet presAssocID="{09A99F66-F4A3-4BFC-A2C1-BC485CD0F0B5}" presName="LevelTwoTextNode" presStyleLbl="node3" presStyleIdx="8" presStyleCnt="18" custScaleX="175761" custScaleY="108417" custLinFactNeighborX="97645" custLinFactNeighborY="-30566">
        <dgm:presLayoutVars>
          <dgm:chPref val="3"/>
        </dgm:presLayoutVars>
      </dgm:prSet>
      <dgm:spPr/>
    </dgm:pt>
    <dgm:pt modelId="{0AF336CC-B749-4F43-832E-944C629B7F01}" type="pres">
      <dgm:prSet presAssocID="{09A99F66-F4A3-4BFC-A2C1-BC485CD0F0B5}" presName="level3hierChild" presStyleCnt="0"/>
      <dgm:spPr/>
    </dgm:pt>
    <dgm:pt modelId="{372436AE-A903-42B2-942B-52DBBB32A021}" type="pres">
      <dgm:prSet presAssocID="{1BA94AB6-C63B-4681-92E8-78FFDEC51868}" presName="conn2-1" presStyleLbl="parChTrans1D2" presStyleIdx="3" presStyleCnt="6"/>
      <dgm:spPr/>
    </dgm:pt>
    <dgm:pt modelId="{C5D221F5-E745-4BA5-8BBC-00A5A53793FD}" type="pres">
      <dgm:prSet presAssocID="{1BA94AB6-C63B-4681-92E8-78FFDEC51868}" presName="connTx" presStyleLbl="parChTrans1D2" presStyleIdx="3" presStyleCnt="6"/>
      <dgm:spPr/>
    </dgm:pt>
    <dgm:pt modelId="{A55050A1-8CBA-401C-9C7B-B5EC3772FC10}" type="pres">
      <dgm:prSet presAssocID="{DC54C6CB-B5B7-47E9-97E2-3E3BA63801DD}" presName="root2" presStyleCnt="0"/>
      <dgm:spPr/>
    </dgm:pt>
    <dgm:pt modelId="{E58307EC-3C87-4E8B-97C2-994DB3B57AAD}" type="pres">
      <dgm:prSet presAssocID="{DC54C6CB-B5B7-47E9-97E2-3E3BA63801DD}" presName="LevelTwoTextNode" presStyleLbl="node2" presStyleIdx="3" presStyleCnt="6" custScaleX="243657" custScaleY="215633" custLinFactNeighborX="-42099">
        <dgm:presLayoutVars>
          <dgm:chPref val="3"/>
        </dgm:presLayoutVars>
      </dgm:prSet>
      <dgm:spPr/>
    </dgm:pt>
    <dgm:pt modelId="{0BFA9263-A88D-4CC8-A62A-767200DEF396}" type="pres">
      <dgm:prSet presAssocID="{DC54C6CB-B5B7-47E9-97E2-3E3BA63801DD}" presName="level3hierChild" presStyleCnt="0"/>
      <dgm:spPr/>
    </dgm:pt>
    <dgm:pt modelId="{D4D96907-D52F-4669-A156-41C1431D3308}" type="pres">
      <dgm:prSet presAssocID="{B18EDA98-79AE-4C1A-BE02-8706920C7048}" presName="conn2-1" presStyleLbl="parChTrans1D3" presStyleIdx="9" presStyleCnt="18"/>
      <dgm:spPr/>
    </dgm:pt>
    <dgm:pt modelId="{DED8DCEB-C8D2-4E73-981C-85FDBABC8960}" type="pres">
      <dgm:prSet presAssocID="{B18EDA98-79AE-4C1A-BE02-8706920C7048}" presName="connTx" presStyleLbl="parChTrans1D3" presStyleIdx="9" presStyleCnt="18"/>
      <dgm:spPr/>
    </dgm:pt>
    <dgm:pt modelId="{93978D51-FA8C-427D-956B-FD658388CC9A}" type="pres">
      <dgm:prSet presAssocID="{219839E2-F122-4BF4-AE5F-C7277279E935}" presName="root2" presStyleCnt="0"/>
      <dgm:spPr/>
    </dgm:pt>
    <dgm:pt modelId="{146DA20F-D5BF-47D5-A429-6CEDB3B150A0}" type="pres">
      <dgm:prSet presAssocID="{219839E2-F122-4BF4-AE5F-C7277279E935}" presName="LevelTwoTextNode" presStyleLbl="node3" presStyleIdx="9" presStyleCnt="18" custScaleX="515333" custScaleY="81763">
        <dgm:presLayoutVars>
          <dgm:chPref val="3"/>
        </dgm:presLayoutVars>
      </dgm:prSet>
      <dgm:spPr/>
    </dgm:pt>
    <dgm:pt modelId="{A60A8A50-1361-4750-99E5-E59E7C09CB0D}" type="pres">
      <dgm:prSet presAssocID="{219839E2-F122-4BF4-AE5F-C7277279E935}" presName="level3hierChild" presStyleCnt="0"/>
      <dgm:spPr/>
    </dgm:pt>
    <dgm:pt modelId="{D7E5716B-AAF3-4200-BD94-EA4C046FEA22}" type="pres">
      <dgm:prSet presAssocID="{39CD6766-2B5E-4D8E-ABA1-B3B25EE689E3}" presName="conn2-1" presStyleLbl="parChTrans1D3" presStyleIdx="10" presStyleCnt="18"/>
      <dgm:spPr/>
    </dgm:pt>
    <dgm:pt modelId="{54BB266E-AC78-4907-80DA-AA205A74228A}" type="pres">
      <dgm:prSet presAssocID="{39CD6766-2B5E-4D8E-ABA1-B3B25EE689E3}" presName="connTx" presStyleLbl="parChTrans1D3" presStyleIdx="10" presStyleCnt="18"/>
      <dgm:spPr/>
    </dgm:pt>
    <dgm:pt modelId="{0E8C66BE-B705-41B7-9137-D8D616950140}" type="pres">
      <dgm:prSet presAssocID="{23BBFA85-6104-4A97-8F78-E82E909B69BD}" presName="root2" presStyleCnt="0"/>
      <dgm:spPr/>
    </dgm:pt>
    <dgm:pt modelId="{4A577E75-FF5E-4175-AAC6-273BAD6F6639}" type="pres">
      <dgm:prSet presAssocID="{23BBFA85-6104-4A97-8F78-E82E909B69BD}" presName="LevelTwoTextNode" presStyleLbl="node3" presStyleIdx="10" presStyleCnt="18" custScaleX="515333" custScaleY="81763">
        <dgm:presLayoutVars>
          <dgm:chPref val="3"/>
        </dgm:presLayoutVars>
      </dgm:prSet>
      <dgm:spPr/>
    </dgm:pt>
    <dgm:pt modelId="{6F397DE6-9DCC-44FF-88B4-C711692F0DDC}" type="pres">
      <dgm:prSet presAssocID="{23BBFA85-6104-4A97-8F78-E82E909B69BD}" presName="level3hierChild" presStyleCnt="0"/>
      <dgm:spPr/>
    </dgm:pt>
    <dgm:pt modelId="{3C563882-B935-4E9A-B365-F5CAE854D6CA}" type="pres">
      <dgm:prSet presAssocID="{79782BCC-A4F1-47D9-B04C-8C2309AEE177}" presName="conn2-1" presStyleLbl="parChTrans1D3" presStyleIdx="11" presStyleCnt="18"/>
      <dgm:spPr/>
    </dgm:pt>
    <dgm:pt modelId="{F7643884-22C5-4995-BC1B-375C0327E9BD}" type="pres">
      <dgm:prSet presAssocID="{79782BCC-A4F1-47D9-B04C-8C2309AEE177}" presName="connTx" presStyleLbl="parChTrans1D3" presStyleIdx="11" presStyleCnt="18"/>
      <dgm:spPr/>
    </dgm:pt>
    <dgm:pt modelId="{CBCD64FE-03A5-4C60-8889-366920D06E1F}" type="pres">
      <dgm:prSet presAssocID="{52969E13-1B00-402C-83B7-07297354394B}" presName="root2" presStyleCnt="0"/>
      <dgm:spPr/>
    </dgm:pt>
    <dgm:pt modelId="{6ED6BE51-78F3-446D-8AA8-6D7A43AA69B0}" type="pres">
      <dgm:prSet presAssocID="{52969E13-1B00-402C-83B7-07297354394B}" presName="LevelTwoTextNode" presStyleLbl="node3" presStyleIdx="11" presStyleCnt="18" custScaleX="515333" custScaleY="81763">
        <dgm:presLayoutVars>
          <dgm:chPref val="3"/>
        </dgm:presLayoutVars>
      </dgm:prSet>
      <dgm:spPr/>
    </dgm:pt>
    <dgm:pt modelId="{01F69155-7B59-45D9-8CCB-995408813E92}" type="pres">
      <dgm:prSet presAssocID="{52969E13-1B00-402C-83B7-07297354394B}" presName="level3hierChild" presStyleCnt="0"/>
      <dgm:spPr/>
    </dgm:pt>
    <dgm:pt modelId="{A8189CA4-637D-416B-A1A0-C04008298E5F}" type="pres">
      <dgm:prSet presAssocID="{2BD4BDC3-06B7-47FA-8E8A-BBDD87CD788B}" presName="conn2-1" presStyleLbl="parChTrans1D2" presStyleIdx="4" presStyleCnt="6"/>
      <dgm:spPr/>
    </dgm:pt>
    <dgm:pt modelId="{F6429301-95BB-4746-8868-8B70FED04239}" type="pres">
      <dgm:prSet presAssocID="{2BD4BDC3-06B7-47FA-8E8A-BBDD87CD788B}" presName="connTx" presStyleLbl="parChTrans1D2" presStyleIdx="4" presStyleCnt="6"/>
      <dgm:spPr/>
    </dgm:pt>
    <dgm:pt modelId="{249D3874-829C-459D-A535-8EA5986E8932}" type="pres">
      <dgm:prSet presAssocID="{C489EB2D-B9F0-492C-BF31-5B27B8320241}" presName="root2" presStyleCnt="0"/>
      <dgm:spPr/>
    </dgm:pt>
    <dgm:pt modelId="{03623332-D118-40B5-9F5F-9778F7EC6A99}" type="pres">
      <dgm:prSet presAssocID="{C489EB2D-B9F0-492C-BF31-5B27B8320241}" presName="LevelTwoTextNode" presStyleLbl="node2" presStyleIdx="4" presStyleCnt="6" custScaleX="243657" custScaleY="352185" custLinFactNeighborX="-42099">
        <dgm:presLayoutVars>
          <dgm:chPref val="3"/>
        </dgm:presLayoutVars>
      </dgm:prSet>
      <dgm:spPr/>
    </dgm:pt>
    <dgm:pt modelId="{A3F2C29C-6263-4EE5-BD9B-CBDDEC97FA33}" type="pres">
      <dgm:prSet presAssocID="{C489EB2D-B9F0-492C-BF31-5B27B8320241}" presName="level3hierChild" presStyleCnt="0"/>
      <dgm:spPr/>
    </dgm:pt>
    <dgm:pt modelId="{2281EEB8-E0B7-4CB3-B503-CC9DDB85B38E}" type="pres">
      <dgm:prSet presAssocID="{E0821B91-F679-433E-AE11-4B3AD3F2E0BD}" presName="conn2-1" presStyleLbl="parChTrans1D3" presStyleIdx="12" presStyleCnt="18"/>
      <dgm:spPr/>
    </dgm:pt>
    <dgm:pt modelId="{DAF41DF9-1BBD-4AC5-B29B-BA2085B139D0}" type="pres">
      <dgm:prSet presAssocID="{E0821B91-F679-433E-AE11-4B3AD3F2E0BD}" presName="connTx" presStyleLbl="parChTrans1D3" presStyleIdx="12" presStyleCnt="18"/>
      <dgm:spPr/>
    </dgm:pt>
    <dgm:pt modelId="{02546182-DCDA-4DEE-9D44-A6B74D85FF19}" type="pres">
      <dgm:prSet presAssocID="{40095E92-5A50-4FD7-9DC7-54C0ED4E471F}" presName="root2" presStyleCnt="0"/>
      <dgm:spPr/>
    </dgm:pt>
    <dgm:pt modelId="{ECA161AC-D090-45AC-946D-6C93F5F92BB9}" type="pres">
      <dgm:prSet presAssocID="{40095E92-5A50-4FD7-9DC7-54C0ED4E471F}" presName="LevelTwoTextNode" presStyleLbl="node3" presStyleIdx="12" presStyleCnt="18" custScaleX="199657" custScaleY="62928" custLinFactNeighborX="90058" custLinFactNeighborY="21401">
        <dgm:presLayoutVars>
          <dgm:chPref val="3"/>
        </dgm:presLayoutVars>
      </dgm:prSet>
      <dgm:spPr/>
    </dgm:pt>
    <dgm:pt modelId="{2EBF75C7-B11C-4DF8-A850-CD742E6E5C9B}" type="pres">
      <dgm:prSet presAssocID="{40095E92-5A50-4FD7-9DC7-54C0ED4E471F}" presName="level3hierChild" presStyleCnt="0"/>
      <dgm:spPr/>
    </dgm:pt>
    <dgm:pt modelId="{5C78B9A6-1B08-405F-9B8B-1C1F6B0CD323}" type="pres">
      <dgm:prSet presAssocID="{79E96F2F-2306-4B5C-AC22-3C69A21D5CA2}" presName="conn2-1" presStyleLbl="parChTrans1D3" presStyleIdx="13" presStyleCnt="18"/>
      <dgm:spPr/>
    </dgm:pt>
    <dgm:pt modelId="{005CA8E5-8435-42D2-998A-7E3A374490F0}" type="pres">
      <dgm:prSet presAssocID="{79E96F2F-2306-4B5C-AC22-3C69A21D5CA2}" presName="connTx" presStyleLbl="parChTrans1D3" presStyleIdx="13" presStyleCnt="18"/>
      <dgm:spPr/>
    </dgm:pt>
    <dgm:pt modelId="{083F5E71-4C31-420D-B53F-CE05005A61DB}" type="pres">
      <dgm:prSet presAssocID="{E5CCB424-925B-41F0-BAAA-30BC87F41F1D}" presName="root2" presStyleCnt="0"/>
      <dgm:spPr/>
    </dgm:pt>
    <dgm:pt modelId="{EF58B2E1-8F4D-43DE-84FC-26255917CC37}" type="pres">
      <dgm:prSet presAssocID="{E5CCB424-925B-41F0-BAAA-30BC87F41F1D}" presName="LevelTwoTextNode" presStyleLbl="node3" presStyleIdx="13" presStyleCnt="18" custScaleX="199657" custScaleY="62928" custLinFactNeighborX="90058" custLinFactNeighborY="21401">
        <dgm:presLayoutVars>
          <dgm:chPref val="3"/>
        </dgm:presLayoutVars>
      </dgm:prSet>
      <dgm:spPr/>
    </dgm:pt>
    <dgm:pt modelId="{681C07E6-018E-44F7-8611-02CB820F4975}" type="pres">
      <dgm:prSet presAssocID="{E5CCB424-925B-41F0-BAAA-30BC87F41F1D}" presName="level3hierChild" presStyleCnt="0"/>
      <dgm:spPr/>
    </dgm:pt>
    <dgm:pt modelId="{C43FBB02-08C0-4092-A160-8C980DA8CF8B}" type="pres">
      <dgm:prSet presAssocID="{61238695-2CC9-43A0-A847-24FAA827AEDF}" presName="conn2-1" presStyleLbl="parChTrans1D3" presStyleIdx="14" presStyleCnt="18"/>
      <dgm:spPr/>
    </dgm:pt>
    <dgm:pt modelId="{1458CA0A-C8F0-49B0-9B22-354C5DA19243}" type="pres">
      <dgm:prSet presAssocID="{61238695-2CC9-43A0-A847-24FAA827AEDF}" presName="connTx" presStyleLbl="parChTrans1D3" presStyleIdx="14" presStyleCnt="18"/>
      <dgm:spPr/>
    </dgm:pt>
    <dgm:pt modelId="{39BCE142-99E9-46A7-B86C-5B21A5379841}" type="pres">
      <dgm:prSet presAssocID="{4DCB9722-41EB-480C-BF1A-FBE7008926B7}" presName="root2" presStyleCnt="0"/>
      <dgm:spPr/>
    </dgm:pt>
    <dgm:pt modelId="{26CAE0B6-4B1A-4A07-9248-1F1FAB7F75E5}" type="pres">
      <dgm:prSet presAssocID="{4DCB9722-41EB-480C-BF1A-FBE7008926B7}" presName="LevelTwoTextNode" presStyleLbl="node3" presStyleIdx="14" presStyleCnt="18" custScaleX="199657" custScaleY="62928" custLinFactNeighborX="90058" custLinFactNeighborY="21401">
        <dgm:presLayoutVars>
          <dgm:chPref val="3"/>
        </dgm:presLayoutVars>
      </dgm:prSet>
      <dgm:spPr/>
    </dgm:pt>
    <dgm:pt modelId="{BC140C9B-3E00-4A6C-80FE-F89F0AA8BA37}" type="pres">
      <dgm:prSet presAssocID="{4DCB9722-41EB-480C-BF1A-FBE7008926B7}" presName="level3hierChild" presStyleCnt="0"/>
      <dgm:spPr/>
    </dgm:pt>
    <dgm:pt modelId="{329FD21A-5770-4601-B68B-2FB06148937A}" type="pres">
      <dgm:prSet presAssocID="{B90C8B5F-5EEF-407A-ADC1-15F9BD5EF8F4}" presName="conn2-1" presStyleLbl="parChTrans1D3" presStyleIdx="15" presStyleCnt="18"/>
      <dgm:spPr/>
    </dgm:pt>
    <dgm:pt modelId="{9862A583-7B32-49D2-A656-2A50DFAF09E5}" type="pres">
      <dgm:prSet presAssocID="{B90C8B5F-5EEF-407A-ADC1-15F9BD5EF8F4}" presName="connTx" presStyleLbl="parChTrans1D3" presStyleIdx="15" presStyleCnt="18"/>
      <dgm:spPr/>
    </dgm:pt>
    <dgm:pt modelId="{4FF353E9-0A7F-436B-A267-75A6525EF872}" type="pres">
      <dgm:prSet presAssocID="{81BCE850-1B31-4811-BCD8-D8B28E4EBFDE}" presName="root2" presStyleCnt="0"/>
      <dgm:spPr/>
    </dgm:pt>
    <dgm:pt modelId="{DDD8CA60-47A4-40BE-AE65-DEB8E01FA1EF}" type="pres">
      <dgm:prSet presAssocID="{81BCE850-1B31-4811-BCD8-D8B28E4EBFDE}" presName="LevelTwoTextNode" presStyleLbl="node3" presStyleIdx="15" presStyleCnt="18" custScaleX="199657" custScaleY="62928" custLinFactNeighborX="90058" custLinFactNeighborY="21401">
        <dgm:presLayoutVars>
          <dgm:chPref val="3"/>
        </dgm:presLayoutVars>
      </dgm:prSet>
      <dgm:spPr/>
    </dgm:pt>
    <dgm:pt modelId="{3979CD0F-CB8D-4233-BF80-D95115C04EEE}" type="pres">
      <dgm:prSet presAssocID="{81BCE850-1B31-4811-BCD8-D8B28E4EBFDE}" presName="level3hierChild" presStyleCnt="0"/>
      <dgm:spPr/>
    </dgm:pt>
    <dgm:pt modelId="{068A4749-5D03-4190-ADFC-856DC7C32493}" type="pres">
      <dgm:prSet presAssocID="{2029CCCE-1F4C-428A-8932-6F8EE10A5DAA}" presName="conn2-1" presStyleLbl="parChTrans1D2" presStyleIdx="5" presStyleCnt="6"/>
      <dgm:spPr/>
    </dgm:pt>
    <dgm:pt modelId="{9B3B27E7-5857-4806-8B11-D69A6BBCE8B9}" type="pres">
      <dgm:prSet presAssocID="{2029CCCE-1F4C-428A-8932-6F8EE10A5DAA}" presName="connTx" presStyleLbl="parChTrans1D2" presStyleIdx="5" presStyleCnt="6"/>
      <dgm:spPr/>
    </dgm:pt>
    <dgm:pt modelId="{7316572B-24C0-4F16-B74E-A1D2D37F67FB}" type="pres">
      <dgm:prSet presAssocID="{45F3BCC3-4660-4C41-8275-98F46E4B624F}" presName="root2" presStyleCnt="0"/>
      <dgm:spPr/>
    </dgm:pt>
    <dgm:pt modelId="{E7ECED2F-FDDA-4478-A3C2-7C0A472E6F39}" type="pres">
      <dgm:prSet presAssocID="{45F3BCC3-4660-4C41-8275-98F46E4B624F}" presName="LevelTwoTextNode" presStyleLbl="node2" presStyleIdx="5" presStyleCnt="6" custScaleX="243657" custScaleY="215633" custLinFactNeighborX="-42099">
        <dgm:presLayoutVars>
          <dgm:chPref val="3"/>
        </dgm:presLayoutVars>
      </dgm:prSet>
      <dgm:spPr/>
    </dgm:pt>
    <dgm:pt modelId="{F5CDAB58-C5B2-4F84-A80F-4073BF7E40B1}" type="pres">
      <dgm:prSet presAssocID="{45F3BCC3-4660-4C41-8275-98F46E4B624F}" presName="level3hierChild" presStyleCnt="0"/>
      <dgm:spPr/>
    </dgm:pt>
    <dgm:pt modelId="{C45CF74E-DC25-467D-998A-93C49E51FB9B}" type="pres">
      <dgm:prSet presAssocID="{BBD41DFB-C695-4CBB-A127-65AB4FBB61C4}" presName="conn2-1" presStyleLbl="parChTrans1D3" presStyleIdx="16" presStyleCnt="18"/>
      <dgm:spPr/>
    </dgm:pt>
    <dgm:pt modelId="{E9619A82-21E4-4F32-A005-DBA38A669473}" type="pres">
      <dgm:prSet presAssocID="{BBD41DFB-C695-4CBB-A127-65AB4FBB61C4}" presName="connTx" presStyleLbl="parChTrans1D3" presStyleIdx="16" presStyleCnt="18"/>
      <dgm:spPr/>
    </dgm:pt>
    <dgm:pt modelId="{44E2E80C-00DD-47AC-96CC-E986363DFDE0}" type="pres">
      <dgm:prSet presAssocID="{9F81D7FE-7C8E-4DDD-9021-BDBE901382BB}" presName="root2" presStyleCnt="0"/>
      <dgm:spPr/>
    </dgm:pt>
    <dgm:pt modelId="{38BBCF4D-FE81-4480-A338-C5B3FEE2E537}" type="pres">
      <dgm:prSet presAssocID="{9F81D7FE-7C8E-4DDD-9021-BDBE901382BB}" presName="LevelTwoTextNode" presStyleLbl="node3" presStyleIdx="16" presStyleCnt="18" custScaleX="220419" custScaleY="164641" custLinFactNeighborX="86973" custLinFactNeighborY="6212">
        <dgm:presLayoutVars>
          <dgm:chPref val="3"/>
        </dgm:presLayoutVars>
      </dgm:prSet>
      <dgm:spPr/>
    </dgm:pt>
    <dgm:pt modelId="{29F9F1D3-24A6-4569-9A66-8EB898E8C4B1}" type="pres">
      <dgm:prSet presAssocID="{9F81D7FE-7C8E-4DDD-9021-BDBE901382BB}" presName="level3hierChild" presStyleCnt="0"/>
      <dgm:spPr/>
    </dgm:pt>
    <dgm:pt modelId="{BD7D3D1B-FA3D-406F-BD0F-59257E142AF6}" type="pres">
      <dgm:prSet presAssocID="{4D5DA707-66C0-452B-9CF5-087CE8BA0E32}" presName="conn2-1" presStyleLbl="parChTrans1D4" presStyleIdx="0" presStyleCnt="8"/>
      <dgm:spPr/>
    </dgm:pt>
    <dgm:pt modelId="{F6F7E003-C37A-4A42-8080-37A8EC0F1F73}" type="pres">
      <dgm:prSet presAssocID="{4D5DA707-66C0-452B-9CF5-087CE8BA0E32}" presName="connTx" presStyleLbl="parChTrans1D4" presStyleIdx="0" presStyleCnt="8"/>
      <dgm:spPr/>
    </dgm:pt>
    <dgm:pt modelId="{350D70FD-576B-43A3-A0D0-F87E7EDB0288}" type="pres">
      <dgm:prSet presAssocID="{FF416919-883D-4ECF-A12F-B342B1102C81}" presName="root2" presStyleCnt="0"/>
      <dgm:spPr/>
    </dgm:pt>
    <dgm:pt modelId="{33463D87-F9C6-40A1-B834-A75058FD846F}" type="pres">
      <dgm:prSet presAssocID="{FF416919-883D-4ECF-A12F-B342B1102C81}" presName="LevelTwoTextNode" presStyleLbl="node4" presStyleIdx="0" presStyleCnt="8" custScaleX="622018" custScaleY="119200" custLinFactNeighborX="94021" custLinFactNeighborY="-7835">
        <dgm:presLayoutVars>
          <dgm:chPref val="3"/>
        </dgm:presLayoutVars>
      </dgm:prSet>
      <dgm:spPr/>
    </dgm:pt>
    <dgm:pt modelId="{6A7D57A8-E94E-49E7-B977-0EDD92F1E1A7}" type="pres">
      <dgm:prSet presAssocID="{FF416919-883D-4ECF-A12F-B342B1102C81}" presName="level3hierChild" presStyleCnt="0"/>
      <dgm:spPr/>
    </dgm:pt>
    <dgm:pt modelId="{E00BBAC6-5BB8-4D46-A8A3-955ED5281D75}" type="pres">
      <dgm:prSet presAssocID="{E883A15A-DC1D-4A42-A99D-2398F0C86902}" presName="conn2-1" presStyleLbl="parChTrans1D4" presStyleIdx="1" presStyleCnt="8"/>
      <dgm:spPr/>
    </dgm:pt>
    <dgm:pt modelId="{892E8360-71BF-4DD7-950C-F02D6AA7BE8C}" type="pres">
      <dgm:prSet presAssocID="{E883A15A-DC1D-4A42-A99D-2398F0C86902}" presName="connTx" presStyleLbl="parChTrans1D4" presStyleIdx="1" presStyleCnt="8"/>
      <dgm:spPr/>
    </dgm:pt>
    <dgm:pt modelId="{EDA552A4-5440-4DD2-9D98-5721FFC3ABED}" type="pres">
      <dgm:prSet presAssocID="{F1263B72-679E-4CBA-9B07-193AB325454C}" presName="root2" presStyleCnt="0"/>
      <dgm:spPr/>
    </dgm:pt>
    <dgm:pt modelId="{26D57478-A37B-439F-93F1-6CB5A7FF6E1F}" type="pres">
      <dgm:prSet presAssocID="{F1263B72-679E-4CBA-9B07-193AB325454C}" presName="LevelTwoTextNode" presStyleLbl="node4" presStyleIdx="1" presStyleCnt="8" custScaleX="622018" custScaleY="119200" custLinFactNeighborX="94021" custLinFactNeighborY="-7835">
        <dgm:presLayoutVars>
          <dgm:chPref val="3"/>
        </dgm:presLayoutVars>
      </dgm:prSet>
      <dgm:spPr/>
    </dgm:pt>
    <dgm:pt modelId="{F09CEF30-FAED-40D3-87E2-BA5FBD8DA14D}" type="pres">
      <dgm:prSet presAssocID="{F1263B72-679E-4CBA-9B07-193AB325454C}" presName="level3hierChild" presStyleCnt="0"/>
      <dgm:spPr/>
    </dgm:pt>
    <dgm:pt modelId="{A91AF713-0952-4D64-8E0D-B037557AD755}" type="pres">
      <dgm:prSet presAssocID="{3D12E1D8-7327-4701-B123-7EEB420863E5}" presName="conn2-1" presStyleLbl="parChTrans1D4" presStyleIdx="2" presStyleCnt="8"/>
      <dgm:spPr/>
    </dgm:pt>
    <dgm:pt modelId="{8FE58CCC-C691-4FBD-812B-FAF6166C0DB1}" type="pres">
      <dgm:prSet presAssocID="{3D12E1D8-7327-4701-B123-7EEB420863E5}" presName="connTx" presStyleLbl="parChTrans1D4" presStyleIdx="2" presStyleCnt="8"/>
      <dgm:spPr/>
    </dgm:pt>
    <dgm:pt modelId="{79EF2073-6420-4011-912C-1C0E503A7D3B}" type="pres">
      <dgm:prSet presAssocID="{5BCAE71C-2382-43E1-BC1F-187AA6859BDC}" presName="root2" presStyleCnt="0"/>
      <dgm:spPr/>
    </dgm:pt>
    <dgm:pt modelId="{1666634B-4997-4AEE-BDC2-34804E4C6F43}" type="pres">
      <dgm:prSet presAssocID="{5BCAE71C-2382-43E1-BC1F-187AA6859BDC}" presName="LevelTwoTextNode" presStyleLbl="node4" presStyleIdx="2" presStyleCnt="8" custScaleX="622018" custScaleY="119200" custLinFactNeighborX="94021" custLinFactNeighborY="-7835">
        <dgm:presLayoutVars>
          <dgm:chPref val="3"/>
        </dgm:presLayoutVars>
      </dgm:prSet>
      <dgm:spPr/>
    </dgm:pt>
    <dgm:pt modelId="{3731D9C3-3137-4164-8430-87307DE81A7B}" type="pres">
      <dgm:prSet presAssocID="{5BCAE71C-2382-43E1-BC1F-187AA6859BDC}" presName="level3hierChild" presStyleCnt="0"/>
      <dgm:spPr/>
    </dgm:pt>
    <dgm:pt modelId="{23762319-ACE1-4EDC-A213-3B26F73BB0A6}" type="pres">
      <dgm:prSet presAssocID="{8C00304E-097A-4B52-BEFC-E1ED96DC4D1F}" presName="conn2-1" presStyleLbl="parChTrans1D4" presStyleIdx="3" presStyleCnt="8"/>
      <dgm:spPr/>
    </dgm:pt>
    <dgm:pt modelId="{AE9DDFF7-1BCE-4BAD-A141-ECBF95FD3E69}" type="pres">
      <dgm:prSet presAssocID="{8C00304E-097A-4B52-BEFC-E1ED96DC4D1F}" presName="connTx" presStyleLbl="parChTrans1D4" presStyleIdx="3" presStyleCnt="8"/>
      <dgm:spPr/>
    </dgm:pt>
    <dgm:pt modelId="{36807486-53CE-46A8-B9CA-4683AB81310F}" type="pres">
      <dgm:prSet presAssocID="{4A3DD9CF-720A-44D6-8751-477FDABE7AF6}" presName="root2" presStyleCnt="0"/>
      <dgm:spPr/>
    </dgm:pt>
    <dgm:pt modelId="{55D4E1F5-F892-497E-9DB7-B9FA2D406172}" type="pres">
      <dgm:prSet presAssocID="{4A3DD9CF-720A-44D6-8751-477FDABE7AF6}" presName="LevelTwoTextNode" presStyleLbl="node4" presStyleIdx="3" presStyleCnt="8" custScaleX="259850" custScaleY="160063" custLinFactNeighborX="94021" custLinFactNeighborY="-7835">
        <dgm:presLayoutVars>
          <dgm:chPref val="3"/>
        </dgm:presLayoutVars>
      </dgm:prSet>
      <dgm:spPr/>
    </dgm:pt>
    <dgm:pt modelId="{BAD7EE66-0C92-44B2-9960-13C76C1A3469}" type="pres">
      <dgm:prSet presAssocID="{4A3DD9CF-720A-44D6-8751-477FDABE7AF6}" presName="level3hierChild" presStyleCnt="0"/>
      <dgm:spPr/>
    </dgm:pt>
    <dgm:pt modelId="{C86F498D-545A-41DC-B968-C70F0BA49E5A}" type="pres">
      <dgm:prSet presAssocID="{B2DBB00D-1720-4492-BA7B-97F923A1D0C1}" presName="conn2-1" presStyleLbl="parChTrans1D4" presStyleIdx="4" presStyleCnt="8"/>
      <dgm:spPr/>
    </dgm:pt>
    <dgm:pt modelId="{A25893DA-8D5F-49C4-807C-4C6D2F635042}" type="pres">
      <dgm:prSet presAssocID="{B2DBB00D-1720-4492-BA7B-97F923A1D0C1}" presName="connTx" presStyleLbl="parChTrans1D4" presStyleIdx="4" presStyleCnt="8"/>
      <dgm:spPr/>
    </dgm:pt>
    <dgm:pt modelId="{E2F939BE-84A4-4240-93C7-CD4F93871695}" type="pres">
      <dgm:prSet presAssocID="{C97DAB7A-CA61-481C-86FC-873464222D79}" presName="root2" presStyleCnt="0"/>
      <dgm:spPr/>
    </dgm:pt>
    <dgm:pt modelId="{C3215FC4-2A99-45B2-9FCB-B571243D418B}" type="pres">
      <dgm:prSet presAssocID="{C97DAB7A-CA61-481C-86FC-873464222D79}" presName="LevelTwoTextNode" presStyleLbl="node4" presStyleIdx="4" presStyleCnt="8" custScaleX="259850" custScaleY="157697" custLinFactNeighborX="94021" custLinFactNeighborY="-7835">
        <dgm:presLayoutVars>
          <dgm:chPref val="3"/>
        </dgm:presLayoutVars>
      </dgm:prSet>
      <dgm:spPr/>
    </dgm:pt>
    <dgm:pt modelId="{97E10375-7E36-42AC-B052-DE0F563FD50D}" type="pres">
      <dgm:prSet presAssocID="{C97DAB7A-CA61-481C-86FC-873464222D79}" presName="level3hierChild" presStyleCnt="0"/>
      <dgm:spPr/>
    </dgm:pt>
    <dgm:pt modelId="{49411502-BE44-4E1B-90BA-7DB77AED9718}" type="pres">
      <dgm:prSet presAssocID="{AA17B3AE-4E59-4921-8099-86B94E7ED698}" presName="conn2-1" presStyleLbl="parChTrans1D3" presStyleIdx="17" presStyleCnt="18"/>
      <dgm:spPr/>
    </dgm:pt>
    <dgm:pt modelId="{5AF71E26-FE5F-4571-A700-E87945598D7B}" type="pres">
      <dgm:prSet presAssocID="{AA17B3AE-4E59-4921-8099-86B94E7ED698}" presName="connTx" presStyleLbl="parChTrans1D3" presStyleIdx="17" presStyleCnt="18"/>
      <dgm:spPr/>
    </dgm:pt>
    <dgm:pt modelId="{70D688BB-EF0A-46FC-848C-00DF1B95104F}" type="pres">
      <dgm:prSet presAssocID="{E7891865-AC87-479E-9820-662B8AC51F36}" presName="root2" presStyleCnt="0"/>
      <dgm:spPr/>
    </dgm:pt>
    <dgm:pt modelId="{FE177B63-C0CC-441B-A400-C9281704BFD4}" type="pres">
      <dgm:prSet presAssocID="{E7891865-AC87-479E-9820-662B8AC51F36}" presName="LevelTwoTextNode" presStyleLbl="node3" presStyleIdx="17" presStyleCnt="18" custScaleX="220419" custScaleY="161605" custLinFactNeighborX="86973" custLinFactNeighborY="6212">
        <dgm:presLayoutVars>
          <dgm:chPref val="3"/>
        </dgm:presLayoutVars>
      </dgm:prSet>
      <dgm:spPr/>
    </dgm:pt>
    <dgm:pt modelId="{1F504616-E094-461A-962B-FD034ECC94A5}" type="pres">
      <dgm:prSet presAssocID="{E7891865-AC87-479E-9820-662B8AC51F36}" presName="level3hierChild" presStyleCnt="0"/>
      <dgm:spPr/>
    </dgm:pt>
    <dgm:pt modelId="{FB5E9AAD-1F75-416E-AA8F-D0A6695E6947}" type="pres">
      <dgm:prSet presAssocID="{53561E31-B59C-4469-8218-430DD5312286}" presName="conn2-1" presStyleLbl="parChTrans1D4" presStyleIdx="5" presStyleCnt="8"/>
      <dgm:spPr/>
    </dgm:pt>
    <dgm:pt modelId="{3272B62B-775E-407B-9452-8FC6E882C647}" type="pres">
      <dgm:prSet presAssocID="{53561E31-B59C-4469-8218-430DD5312286}" presName="connTx" presStyleLbl="parChTrans1D4" presStyleIdx="5" presStyleCnt="8"/>
      <dgm:spPr/>
    </dgm:pt>
    <dgm:pt modelId="{20EB80AF-FBD7-46E0-9DE8-4E525D823A4C}" type="pres">
      <dgm:prSet presAssocID="{D6024656-CFC1-494F-9B3C-6D48C50548CC}" presName="root2" presStyleCnt="0"/>
      <dgm:spPr/>
    </dgm:pt>
    <dgm:pt modelId="{382F2F9D-5BA5-4374-B098-0C93C6C7B6EF}" type="pres">
      <dgm:prSet presAssocID="{D6024656-CFC1-494F-9B3C-6D48C50548CC}" presName="LevelTwoTextNode" presStyleLbl="node4" presStyleIdx="5" presStyleCnt="8" custScaleX="622018" custScaleY="119200" custLinFactNeighborX="94021" custLinFactNeighborY="-7835">
        <dgm:presLayoutVars>
          <dgm:chPref val="3"/>
        </dgm:presLayoutVars>
      </dgm:prSet>
      <dgm:spPr/>
    </dgm:pt>
    <dgm:pt modelId="{D6149853-DC94-4348-9A9D-74489626426D}" type="pres">
      <dgm:prSet presAssocID="{D6024656-CFC1-494F-9B3C-6D48C50548CC}" presName="level3hierChild" presStyleCnt="0"/>
      <dgm:spPr/>
    </dgm:pt>
    <dgm:pt modelId="{911189FE-05D1-4A10-9511-27968F4CCD9B}" type="pres">
      <dgm:prSet presAssocID="{8B349926-6E75-4201-89A1-1A111F97E79E}" presName="conn2-1" presStyleLbl="parChTrans1D4" presStyleIdx="6" presStyleCnt="8"/>
      <dgm:spPr/>
    </dgm:pt>
    <dgm:pt modelId="{5A97D47E-027B-4A52-AC5C-258D10405EFD}" type="pres">
      <dgm:prSet presAssocID="{8B349926-6E75-4201-89A1-1A111F97E79E}" presName="connTx" presStyleLbl="parChTrans1D4" presStyleIdx="6" presStyleCnt="8"/>
      <dgm:spPr/>
    </dgm:pt>
    <dgm:pt modelId="{8ADE14CF-F666-4064-9DF9-22D94267A654}" type="pres">
      <dgm:prSet presAssocID="{E50B5404-86F3-4BBA-B2FD-96644CBF78ED}" presName="root2" presStyleCnt="0"/>
      <dgm:spPr/>
    </dgm:pt>
    <dgm:pt modelId="{AF353D93-6CDF-4BBD-9991-4529E8D6B140}" type="pres">
      <dgm:prSet presAssocID="{E50B5404-86F3-4BBA-B2FD-96644CBF78ED}" presName="LevelTwoTextNode" presStyleLbl="node4" presStyleIdx="6" presStyleCnt="8" custScaleX="622018" custScaleY="119200" custLinFactNeighborX="94021" custLinFactNeighborY="-7835">
        <dgm:presLayoutVars>
          <dgm:chPref val="3"/>
        </dgm:presLayoutVars>
      </dgm:prSet>
      <dgm:spPr/>
    </dgm:pt>
    <dgm:pt modelId="{72DAB06B-0F58-4C8D-A0EC-47B15A7AD63C}" type="pres">
      <dgm:prSet presAssocID="{E50B5404-86F3-4BBA-B2FD-96644CBF78ED}" presName="level3hierChild" presStyleCnt="0"/>
      <dgm:spPr/>
    </dgm:pt>
    <dgm:pt modelId="{72DC347F-07E8-42A9-B9B7-BD380E60C282}" type="pres">
      <dgm:prSet presAssocID="{299F786D-5692-4E27-900E-F283D331BE6C}" presName="conn2-1" presStyleLbl="parChTrans1D4" presStyleIdx="7" presStyleCnt="8"/>
      <dgm:spPr/>
    </dgm:pt>
    <dgm:pt modelId="{F8546FDF-641B-4DE6-81B2-4451D905A85F}" type="pres">
      <dgm:prSet presAssocID="{299F786D-5692-4E27-900E-F283D331BE6C}" presName="connTx" presStyleLbl="parChTrans1D4" presStyleIdx="7" presStyleCnt="8"/>
      <dgm:spPr/>
    </dgm:pt>
    <dgm:pt modelId="{2F12BDCA-DD8F-4102-ABB7-371BF5DBF4CA}" type="pres">
      <dgm:prSet presAssocID="{3FE39248-0E9B-45F1-8363-915D46B7DD43}" presName="root2" presStyleCnt="0"/>
      <dgm:spPr/>
    </dgm:pt>
    <dgm:pt modelId="{03B3E8A5-90EF-45FA-B810-47F42141D228}" type="pres">
      <dgm:prSet presAssocID="{3FE39248-0E9B-45F1-8363-915D46B7DD43}" presName="LevelTwoTextNode" presStyleLbl="node4" presStyleIdx="7" presStyleCnt="8" custScaleX="622018" custScaleY="119200" custLinFactNeighborX="94021" custLinFactNeighborY="-7835">
        <dgm:presLayoutVars>
          <dgm:chPref val="3"/>
        </dgm:presLayoutVars>
      </dgm:prSet>
      <dgm:spPr/>
    </dgm:pt>
    <dgm:pt modelId="{44E5BC35-E5F2-4DA5-B4B9-2DF0F3D34F24}" type="pres">
      <dgm:prSet presAssocID="{3FE39248-0E9B-45F1-8363-915D46B7DD43}" presName="level3hierChild" presStyleCnt="0"/>
      <dgm:spPr/>
    </dgm:pt>
  </dgm:ptLst>
  <dgm:cxnLst>
    <dgm:cxn modelId="{B7B43200-2FED-4C0C-9477-CDC1C649FC5C}" type="presOf" srcId="{7CDA0981-FA2F-43B5-BE8C-EA5648283D5E}" destId="{EACF1505-376F-42E6-870E-D3C358EE8E75}" srcOrd="0" destOrd="0" presId="urn:microsoft.com/office/officeart/2005/8/layout/hierarchy2"/>
    <dgm:cxn modelId="{7C054103-E40E-469C-AD30-8B0F7FDC653D}" type="presOf" srcId="{79E96F2F-2306-4B5C-AC22-3C69A21D5CA2}" destId="{005CA8E5-8435-42D2-998A-7E3A374490F0}" srcOrd="1" destOrd="0" presId="urn:microsoft.com/office/officeart/2005/8/layout/hierarchy2"/>
    <dgm:cxn modelId="{773DD209-6557-429C-8728-C9ECC45C42AA}" srcId="{236ED2A6-C6DE-4AAB-9AE5-9BFC333F8501}" destId="{45F3BCC3-4660-4C41-8275-98F46E4B624F}" srcOrd="5" destOrd="0" parTransId="{2029CCCE-1F4C-428A-8932-6F8EE10A5DAA}" sibTransId="{1ACC263B-2BFF-4AB4-ACFA-7CE317B80EE7}"/>
    <dgm:cxn modelId="{299D670B-34CA-41A8-9D14-7BA8234782ED}" type="presOf" srcId="{2029CCCE-1F4C-428A-8932-6F8EE10A5DAA}" destId="{9B3B27E7-5857-4806-8B11-D69A6BBCE8B9}" srcOrd="1" destOrd="0" presId="urn:microsoft.com/office/officeart/2005/8/layout/hierarchy2"/>
    <dgm:cxn modelId="{A8E6450F-27B9-443F-A99B-EC4E4E8FCC10}" srcId="{DC54C6CB-B5B7-47E9-97E2-3E3BA63801DD}" destId="{23BBFA85-6104-4A97-8F78-E82E909B69BD}" srcOrd="1" destOrd="0" parTransId="{39CD6766-2B5E-4D8E-ABA1-B3B25EE689E3}" sibTransId="{FA81D10B-5BF6-4D33-B969-AEF08A3BF2CA}"/>
    <dgm:cxn modelId="{D7B3BC14-1D92-4D5F-9776-3DD5E9998A27}" type="presOf" srcId="{E170DEDF-F637-4E76-8653-4164A5E3CC76}" destId="{2CAC73D1-2D15-4F03-9149-015C547DA445}" srcOrd="0" destOrd="0" presId="urn:microsoft.com/office/officeart/2005/8/layout/hierarchy2"/>
    <dgm:cxn modelId="{399DDC15-789E-4C05-9DC2-B24F776C793B}" type="presOf" srcId="{E7891865-AC87-479E-9820-662B8AC51F36}" destId="{FE177B63-C0CC-441B-A400-C9281704BFD4}" srcOrd="0" destOrd="0" presId="urn:microsoft.com/office/officeart/2005/8/layout/hierarchy2"/>
    <dgm:cxn modelId="{229DF716-014C-4FD1-B679-4923AD081227}" type="presOf" srcId="{C489EB2D-B9F0-492C-BF31-5B27B8320241}" destId="{03623332-D118-40B5-9F5F-9778F7EC6A99}" srcOrd="0" destOrd="0" presId="urn:microsoft.com/office/officeart/2005/8/layout/hierarchy2"/>
    <dgm:cxn modelId="{E65BF717-F670-4F84-B6BD-182282245C5D}" srcId="{6F010CC2-461B-441B-A523-D80765C2839E}" destId="{09A99F66-F4A3-4BFC-A2C1-BC485CD0F0B5}" srcOrd="3" destOrd="0" parTransId="{0A3364BE-FC07-4F21-96BC-145D80AF3623}" sibTransId="{0C663950-07F6-41D8-86BB-8EF15213E2A6}"/>
    <dgm:cxn modelId="{240C8C1A-28C7-4257-AA1C-E3EF7A25188D}" type="presOf" srcId="{D355EEF8-428D-41BF-A161-F837C130A699}" destId="{712C809E-B891-46E8-BE08-646A33AB34DF}" srcOrd="0" destOrd="0" presId="urn:microsoft.com/office/officeart/2005/8/layout/hierarchy2"/>
    <dgm:cxn modelId="{F821861B-E748-40F1-A104-52C7B5C3A669}" type="presOf" srcId="{79782BCC-A4F1-47D9-B04C-8C2309AEE177}" destId="{F7643884-22C5-4995-BC1B-375C0327E9BD}" srcOrd="1" destOrd="0" presId="urn:microsoft.com/office/officeart/2005/8/layout/hierarchy2"/>
    <dgm:cxn modelId="{DBDB911B-5092-4979-B69B-5EF835E8F08B}" type="presOf" srcId="{53561E31-B59C-4469-8218-430DD5312286}" destId="{FB5E9AAD-1F75-416E-AA8F-D0A6695E6947}" srcOrd="0" destOrd="0" presId="urn:microsoft.com/office/officeart/2005/8/layout/hierarchy2"/>
    <dgm:cxn modelId="{3AAB2B1E-5CF6-42FF-87CB-6F77103855E1}" srcId="{9F81D7FE-7C8E-4DDD-9021-BDBE901382BB}" destId="{5BCAE71C-2382-43E1-BC1F-187AA6859BDC}" srcOrd="2" destOrd="0" parTransId="{3D12E1D8-7327-4701-B123-7EEB420863E5}" sibTransId="{0F40F818-1582-4F7B-AF3E-17184C4EDC01}"/>
    <dgm:cxn modelId="{9C7C4A1E-CB69-4514-8D0B-A5E49D82B24C}" srcId="{E7891865-AC87-479E-9820-662B8AC51F36}" destId="{3FE39248-0E9B-45F1-8363-915D46B7DD43}" srcOrd="2" destOrd="0" parTransId="{299F786D-5692-4E27-900E-F283D331BE6C}" sibTransId="{EA78294E-2403-4478-9E14-4ADA82A5D08D}"/>
    <dgm:cxn modelId="{E5F63F20-6D33-4532-8BF8-F1E901656894}" type="presOf" srcId="{8B349926-6E75-4201-89A1-1A111F97E79E}" destId="{911189FE-05D1-4A10-9511-27968F4CCD9B}" srcOrd="0" destOrd="0" presId="urn:microsoft.com/office/officeart/2005/8/layout/hierarchy2"/>
    <dgm:cxn modelId="{88DA8E26-9E2E-4E22-B66D-1DC09313BAA0}" type="presOf" srcId="{B2DBB00D-1720-4492-BA7B-97F923A1D0C1}" destId="{A25893DA-8D5F-49C4-807C-4C6D2F635042}" srcOrd="1" destOrd="0" presId="urn:microsoft.com/office/officeart/2005/8/layout/hierarchy2"/>
    <dgm:cxn modelId="{3F199226-A405-43FC-AE84-762B00F73967}" type="presOf" srcId="{72892D38-CBF8-4A31-A806-F0690B5D1489}" destId="{9FAF14BE-DF74-49A8-AD28-95432D77EAF5}" srcOrd="0" destOrd="0" presId="urn:microsoft.com/office/officeart/2005/8/layout/hierarchy2"/>
    <dgm:cxn modelId="{2929B029-5304-489D-8CC0-7EF905B18772}" type="presOf" srcId="{CD38772C-9D81-44C2-99B9-A1492C9FD469}" destId="{61092624-DFE9-4D0D-9453-3F731D7AE8EE}" srcOrd="0" destOrd="0" presId="urn:microsoft.com/office/officeart/2005/8/layout/hierarchy2"/>
    <dgm:cxn modelId="{5C2A912C-6A07-46C2-8B42-898BADEC649C}" type="presOf" srcId="{D6024656-CFC1-494F-9B3C-6D48C50548CC}" destId="{382F2F9D-5BA5-4374-B098-0C93C6C7B6EF}" srcOrd="0" destOrd="0" presId="urn:microsoft.com/office/officeart/2005/8/layout/hierarchy2"/>
    <dgm:cxn modelId="{30915730-982C-49B0-86D0-F2CF2133BE71}" type="presOf" srcId="{32594B73-6901-4C99-B9B8-E4F4905C3321}" destId="{31BB8760-49C1-40F6-B58D-4F5037F5026A}" srcOrd="0" destOrd="0" presId="urn:microsoft.com/office/officeart/2005/8/layout/hierarchy2"/>
    <dgm:cxn modelId="{F3BDE533-9932-4843-A9C8-90C6FF238E13}" type="presOf" srcId="{2BD4BDC3-06B7-47FA-8E8A-BBDD87CD788B}" destId="{A8189CA4-637D-416B-A1A0-C04008298E5F}" srcOrd="0" destOrd="0" presId="urn:microsoft.com/office/officeart/2005/8/layout/hierarchy2"/>
    <dgm:cxn modelId="{2C5C6934-D812-4FD9-B3C5-030AEA346B73}" type="presOf" srcId="{6C766D1B-48DD-4083-A1E1-2B25F79CBCA9}" destId="{3A8F84D3-B9BD-4B5E-A91A-1A075C69D4E6}" srcOrd="1" destOrd="0" presId="urn:microsoft.com/office/officeart/2005/8/layout/hierarchy2"/>
    <dgm:cxn modelId="{1EDB7136-3D1A-45D4-A7B3-9D324E663244}" srcId="{236ED2A6-C6DE-4AAB-9AE5-9BFC333F8501}" destId="{C489EB2D-B9F0-492C-BF31-5B27B8320241}" srcOrd="4" destOrd="0" parTransId="{2BD4BDC3-06B7-47FA-8E8A-BBDD87CD788B}" sibTransId="{675B49F9-031A-43AC-8B6F-5AFE2C390B88}"/>
    <dgm:cxn modelId="{E724DC37-89A1-41E7-B1D0-8B907A5016B6}" srcId="{E7891865-AC87-479E-9820-662B8AC51F36}" destId="{E50B5404-86F3-4BBA-B2FD-96644CBF78ED}" srcOrd="1" destOrd="0" parTransId="{8B349926-6E75-4201-89A1-1A111F97E79E}" sibTransId="{17A1B40D-BECC-4338-8232-B308B3359F97}"/>
    <dgm:cxn modelId="{13D9CC3A-BDFE-412D-A5E5-C8EA3DCFEA8C}" srcId="{6F010CC2-461B-441B-A523-D80765C2839E}" destId="{F313103F-91E5-4C39-BB16-3D113D62BF02}" srcOrd="2" destOrd="0" parTransId="{71EEAFB1-2DC3-49FE-8EAD-20F06355E326}" sibTransId="{22ADDBC1-D01B-4B4D-B69F-6F2A114362F2}"/>
    <dgm:cxn modelId="{9B78393C-C659-4A1B-A59A-6DAA71789F33}" type="presOf" srcId="{8B349926-6E75-4201-89A1-1A111F97E79E}" destId="{5A97D47E-027B-4A52-AC5C-258D10405EFD}" srcOrd="1" destOrd="0" presId="urn:microsoft.com/office/officeart/2005/8/layout/hierarchy2"/>
    <dgm:cxn modelId="{F8FD523C-6D99-4CA2-A51E-19174A957486}" srcId="{24AA6174-1931-4669-A8E8-47C7AD017C73}" destId="{903E8CCA-8E62-4650-8B1C-F02E492E7445}" srcOrd="0" destOrd="0" parTransId="{7CDA0981-FA2F-43B5-BE8C-EA5648283D5E}" sibTransId="{03F249EB-0691-47D3-A860-9734DA8463E3}"/>
    <dgm:cxn modelId="{9DC24E3D-AA0A-490D-A97E-D197C7C2F967}" type="presOf" srcId="{3EC0ACF3-9387-4BC0-8395-CFBDF6108E0A}" destId="{5F3D26C0-B130-4EC4-9A76-DC7E9F3EC1A3}" srcOrd="0" destOrd="0" presId="urn:microsoft.com/office/officeart/2005/8/layout/hierarchy2"/>
    <dgm:cxn modelId="{FC26753F-40D6-4BDA-B6E3-08139806AB2D}" type="presOf" srcId="{E883A15A-DC1D-4A42-A99D-2398F0C86902}" destId="{892E8360-71BF-4DD7-950C-F02D6AA7BE8C}" srcOrd="1" destOrd="0" presId="urn:microsoft.com/office/officeart/2005/8/layout/hierarchy2"/>
    <dgm:cxn modelId="{C837D85B-DE93-41ED-839C-711E41C37AB0}" type="presOf" srcId="{B0275BDE-F460-434C-98D1-722E35768086}" destId="{5B201AE1-88D7-4797-A05D-15A3C9A9A8B0}" srcOrd="1" destOrd="0" presId="urn:microsoft.com/office/officeart/2005/8/layout/hierarchy2"/>
    <dgm:cxn modelId="{6C85325C-0001-4A57-9EC4-6235D17D7429}" type="presOf" srcId="{72892D38-CBF8-4A31-A806-F0690B5D1489}" destId="{46536611-C4AA-49DF-BE07-07271D10BEC8}" srcOrd="1" destOrd="0" presId="urn:microsoft.com/office/officeart/2005/8/layout/hierarchy2"/>
    <dgm:cxn modelId="{37B71B5F-EFCD-47EC-B962-906A2B4FC907}" srcId="{C489EB2D-B9F0-492C-BF31-5B27B8320241}" destId="{40095E92-5A50-4FD7-9DC7-54C0ED4E471F}" srcOrd="0" destOrd="0" parTransId="{E0821B91-F679-433E-AE11-4B3AD3F2E0BD}" sibTransId="{2156FAAC-589D-40C7-9CF8-50387B4C194B}"/>
    <dgm:cxn modelId="{0114415F-DE2E-4F5D-9BE7-B5759657CBA5}" type="presOf" srcId="{8C00304E-097A-4B52-BEFC-E1ED96DC4D1F}" destId="{AE9DDFF7-1BCE-4BAD-A141-ECBF95FD3E69}" srcOrd="1" destOrd="0" presId="urn:microsoft.com/office/officeart/2005/8/layout/hierarchy2"/>
    <dgm:cxn modelId="{5D884960-CAE1-4829-9164-20BE19F65A70}" type="presOf" srcId="{4D5DA707-66C0-452B-9CF5-087CE8BA0E32}" destId="{F6F7E003-C37A-4A42-8080-37A8EC0F1F73}" srcOrd="1" destOrd="0" presId="urn:microsoft.com/office/officeart/2005/8/layout/hierarchy2"/>
    <dgm:cxn modelId="{AA674961-B5AE-4E99-83AA-4F84AFD38A27}" type="presOf" srcId="{81BCE850-1B31-4811-BCD8-D8B28E4EBFDE}" destId="{DDD8CA60-47A4-40BE-AE65-DEB8E01FA1EF}" srcOrd="0" destOrd="0" presId="urn:microsoft.com/office/officeart/2005/8/layout/hierarchy2"/>
    <dgm:cxn modelId="{78514D62-3018-4C54-BA85-953D47B75321}" srcId="{E170DEDF-F637-4E76-8653-4164A5E3CC76}" destId="{236ED2A6-C6DE-4AAB-9AE5-9BFC333F8501}" srcOrd="0" destOrd="0" parTransId="{716CD9F3-D7E2-4224-AD0C-8BA189C0430F}" sibTransId="{C13C23CD-640E-4801-8D32-2E7A027AD9EC}"/>
    <dgm:cxn modelId="{7D3A6663-06AC-4DD8-946C-5D7E87A2BD69}" type="presOf" srcId="{7CDA0981-FA2F-43B5-BE8C-EA5648283D5E}" destId="{C4B84B1C-5B2F-4246-AF5D-9862D2BA5D35}" srcOrd="1" destOrd="0" presId="urn:microsoft.com/office/officeart/2005/8/layout/hierarchy2"/>
    <dgm:cxn modelId="{A312AE66-35AB-4522-9B3B-0BED773C75D3}" type="presOf" srcId="{0A3364BE-FC07-4F21-96BC-145D80AF3623}" destId="{6260AF23-FDC1-4CEA-866A-6B88F944EE63}" srcOrd="0" destOrd="0" presId="urn:microsoft.com/office/officeart/2005/8/layout/hierarchy2"/>
    <dgm:cxn modelId="{BE552E6B-A62E-47A5-B6BF-54CC880FCA06}" type="presOf" srcId="{09A99F66-F4A3-4BFC-A2C1-BC485CD0F0B5}" destId="{64294F35-AEC2-41F2-BD32-9A3D1647D3F5}" srcOrd="0" destOrd="0" presId="urn:microsoft.com/office/officeart/2005/8/layout/hierarchy2"/>
    <dgm:cxn modelId="{81CB986B-C7C0-4B46-AA74-7308F34E4AFA}" type="presOf" srcId="{3B1EE30C-47F7-4F4E-982F-3EA8EAF5B154}" destId="{66FDE2CC-C1A8-415F-AF7C-634CA0851C0F}" srcOrd="0" destOrd="0" presId="urn:microsoft.com/office/officeart/2005/8/layout/hierarchy2"/>
    <dgm:cxn modelId="{C5C65D6D-C104-4778-93B8-D9B37309A27E}" type="presOf" srcId="{4D5DA707-66C0-452B-9CF5-087CE8BA0E32}" destId="{BD7D3D1B-FA3D-406F-BD0F-59257E142AF6}" srcOrd="0" destOrd="0" presId="urn:microsoft.com/office/officeart/2005/8/layout/hierarchy2"/>
    <dgm:cxn modelId="{A4D0416F-032C-420A-855E-132CEF34D7DB}" type="presOf" srcId="{79E96F2F-2306-4B5C-AC22-3C69A21D5CA2}" destId="{5C78B9A6-1B08-405F-9B8B-1C1F6B0CD323}" srcOrd="0" destOrd="0" presId="urn:microsoft.com/office/officeart/2005/8/layout/hierarchy2"/>
    <dgm:cxn modelId="{5AE72850-AAB7-4C57-B1F2-4C3590AD31BF}" type="presOf" srcId="{0A3364BE-FC07-4F21-96BC-145D80AF3623}" destId="{F23F1282-E8A9-42CB-AF86-F1D48DADB0D3}" srcOrd="1" destOrd="0" presId="urn:microsoft.com/office/officeart/2005/8/layout/hierarchy2"/>
    <dgm:cxn modelId="{D0B24851-0803-4250-9CAB-5932C1905351}" type="presOf" srcId="{2029CCCE-1F4C-428A-8932-6F8EE10A5DAA}" destId="{068A4749-5D03-4190-ADFC-856DC7C32493}" srcOrd="0" destOrd="0" presId="urn:microsoft.com/office/officeart/2005/8/layout/hierarchy2"/>
    <dgm:cxn modelId="{EF847171-CFF0-44E3-B27A-180550028E61}" srcId="{24AA6174-1931-4669-A8E8-47C7AD017C73}" destId="{2B1D055E-0FA2-4154-9604-85ADAF1D1B7A}" srcOrd="3" destOrd="0" parTransId="{6C766D1B-48DD-4083-A1E1-2B25F79CBCA9}" sibTransId="{3432B6BE-A776-445E-A605-FA219944F9F5}"/>
    <dgm:cxn modelId="{59436172-9C2B-46B6-987D-260E45077CF3}" type="presOf" srcId="{FF416919-883D-4ECF-A12F-B342B1102C81}" destId="{33463D87-F9C6-40A1-B834-A75058FD846F}" srcOrd="0" destOrd="0" presId="urn:microsoft.com/office/officeart/2005/8/layout/hierarchy2"/>
    <dgm:cxn modelId="{13856F52-895B-476B-BAF3-4A94145342B7}" srcId="{5BCAE71C-2382-43E1-BC1F-187AA6859BDC}" destId="{4A3DD9CF-720A-44D6-8751-477FDABE7AF6}" srcOrd="0" destOrd="0" parTransId="{8C00304E-097A-4B52-BEFC-E1ED96DC4D1F}" sibTransId="{8EE528A6-FC03-45CC-98A2-C59277700EBB}"/>
    <dgm:cxn modelId="{CB23C072-13B9-4631-B0E3-9237E7B2305B}" srcId="{236ED2A6-C6DE-4AAB-9AE5-9BFC333F8501}" destId="{24AA6174-1931-4669-A8E8-47C7AD017C73}" srcOrd="1" destOrd="0" parTransId="{3B1EE30C-47F7-4F4E-982F-3EA8EAF5B154}" sibTransId="{6EB1EB84-A2C0-4E02-B9E9-4592A1FC031A}"/>
    <dgm:cxn modelId="{1551D652-3A9C-4C49-9B57-345EFE802A64}" type="presOf" srcId="{B90C8B5F-5EEF-407A-ADC1-15F9BD5EF8F4}" destId="{329FD21A-5770-4601-B68B-2FB06148937A}" srcOrd="0" destOrd="0" presId="urn:microsoft.com/office/officeart/2005/8/layout/hierarchy2"/>
    <dgm:cxn modelId="{C4041254-7690-4BD1-9567-A60AF527FEB9}" type="presOf" srcId="{61238695-2CC9-43A0-A847-24FAA827AEDF}" destId="{1458CA0A-C8F0-49B0-9B22-354C5DA19243}" srcOrd="1" destOrd="0" presId="urn:microsoft.com/office/officeart/2005/8/layout/hierarchy2"/>
    <dgm:cxn modelId="{9BDD3254-B362-4796-BD52-A03661176976}" type="presOf" srcId="{AA17B3AE-4E59-4921-8099-86B94E7ED698}" destId="{5AF71E26-FE5F-4571-A700-E87945598D7B}" srcOrd="1" destOrd="0" presId="urn:microsoft.com/office/officeart/2005/8/layout/hierarchy2"/>
    <dgm:cxn modelId="{A7E67954-40BD-45C4-B94F-EB312C533F38}" type="presOf" srcId="{46753A2A-0662-4E11-A1A1-9A6D076072D3}" destId="{AAD0B584-E43D-4B20-9050-9D0850085C4F}" srcOrd="0" destOrd="0" presId="urn:microsoft.com/office/officeart/2005/8/layout/hierarchy2"/>
    <dgm:cxn modelId="{9B782A55-63EE-4A53-AA80-8D9356FF321F}" type="presOf" srcId="{CD38772C-9D81-44C2-99B9-A1492C9FD469}" destId="{A1DB1586-DD0A-4CC1-98C2-B9685AAF9726}" srcOrd="1" destOrd="0" presId="urn:microsoft.com/office/officeart/2005/8/layout/hierarchy2"/>
    <dgm:cxn modelId="{2E8D3F75-A1C8-46DB-A95C-7289CCA22036}" type="presOf" srcId="{E0D7158E-67D7-4A67-9227-02721D2DA146}" destId="{96ABAD13-D8BE-4D5B-BF3C-E7BC6931C8FA}" srcOrd="0" destOrd="0" presId="urn:microsoft.com/office/officeart/2005/8/layout/hierarchy2"/>
    <dgm:cxn modelId="{A687E656-0431-448B-AF81-D981C2DB5929}" type="presOf" srcId="{39CD6766-2B5E-4D8E-ABA1-B3B25EE689E3}" destId="{54BB266E-AC78-4907-80DA-AA205A74228A}" srcOrd="1" destOrd="0" presId="urn:microsoft.com/office/officeart/2005/8/layout/hierarchy2"/>
    <dgm:cxn modelId="{3E1EF556-4D36-4110-81B8-5AB4997737D7}" type="presOf" srcId="{EF7BE47F-C1D0-4C58-BAA1-A8766EC87F04}" destId="{88E72931-3C73-48FC-ABBC-E416941CD464}" srcOrd="0" destOrd="0" presId="urn:microsoft.com/office/officeart/2005/8/layout/hierarchy2"/>
    <dgm:cxn modelId="{99A23777-EDFD-487E-8E4C-04C19D4D6821}" type="presOf" srcId="{E50B5404-86F3-4BBA-B2FD-96644CBF78ED}" destId="{AF353D93-6CDF-4BBD-9991-4529E8D6B140}" srcOrd="0" destOrd="0" presId="urn:microsoft.com/office/officeart/2005/8/layout/hierarchy2"/>
    <dgm:cxn modelId="{333C3178-8EF5-4C8E-A629-46D572ED7F05}" type="presOf" srcId="{903E8CCA-8E62-4650-8B1C-F02E492E7445}" destId="{F21C9C69-83D9-4198-AA3A-4A792948ED35}" srcOrd="0" destOrd="0" presId="urn:microsoft.com/office/officeart/2005/8/layout/hierarchy2"/>
    <dgm:cxn modelId="{B1D66578-82F8-4CAE-90AB-906D1CB2996F}" type="presOf" srcId="{806C3E0D-CAF5-4BDA-AED4-2FE6C112027C}" destId="{682B2893-B250-4801-9C36-6B4ABE9567BB}" srcOrd="0" destOrd="0" presId="urn:microsoft.com/office/officeart/2005/8/layout/hierarchy2"/>
    <dgm:cxn modelId="{091BE778-E826-4E06-A5CE-B4966AEA0665}" type="presOf" srcId="{D355EEF8-428D-41BF-A161-F837C130A699}" destId="{0969CE22-F7CB-4177-8C67-5F6AF8FE1C85}" srcOrd="1" destOrd="0" presId="urn:microsoft.com/office/officeart/2005/8/layout/hierarchy2"/>
    <dgm:cxn modelId="{5118F659-4D4E-4410-8297-B79708F3AB6A}" type="presOf" srcId="{52969E13-1B00-402C-83B7-07297354394B}" destId="{6ED6BE51-78F3-446D-8AA8-6D7A43AA69B0}" srcOrd="0" destOrd="0" presId="urn:microsoft.com/office/officeart/2005/8/layout/hierarchy2"/>
    <dgm:cxn modelId="{4762F679-186E-4D76-BAD7-8B8111F93CE5}" type="presOf" srcId="{B18EDA98-79AE-4C1A-BE02-8706920C7048}" destId="{DED8DCEB-C8D2-4E73-981C-85FDBABC8960}" srcOrd="1" destOrd="0" presId="urn:microsoft.com/office/officeart/2005/8/layout/hierarchy2"/>
    <dgm:cxn modelId="{E8645B5A-E82B-44DC-9785-9A63F8A34133}" type="presOf" srcId="{A40D56A2-06F8-4243-B41B-A2C39191EB4D}" destId="{46E58718-38C4-44F0-BFB7-0B58D42EC0A4}" srcOrd="0" destOrd="0" presId="urn:microsoft.com/office/officeart/2005/8/layout/hierarchy2"/>
    <dgm:cxn modelId="{006B0E7C-7E9A-4788-832C-5A6CBA8C01FF}" type="presOf" srcId="{2B1D055E-0FA2-4154-9604-85ADAF1D1B7A}" destId="{19AF4637-7FEA-4690-A4DD-27D799245FE4}" srcOrd="0" destOrd="0" presId="urn:microsoft.com/office/officeart/2005/8/layout/hierarchy2"/>
    <dgm:cxn modelId="{B3825F7D-BDDC-484C-A08B-7B335E2FCAD4}" srcId="{24AA6174-1931-4669-A8E8-47C7AD017C73}" destId="{806C3E0D-CAF5-4BDA-AED4-2FE6C112027C}" srcOrd="1" destOrd="0" parTransId="{D355EEF8-428D-41BF-A161-F837C130A699}" sibTransId="{100CACD0-657E-4E23-9730-7DC62B4267B1}"/>
    <dgm:cxn modelId="{72B9777F-E6CB-45E8-A488-AAD59181CC20}" srcId="{C489EB2D-B9F0-492C-BF31-5B27B8320241}" destId="{81BCE850-1B31-4811-BCD8-D8B28E4EBFDE}" srcOrd="3" destOrd="0" parTransId="{B90C8B5F-5EEF-407A-ADC1-15F9BD5EF8F4}" sibTransId="{3810C1FC-C89E-464C-AB90-E035D4EFF1B9}"/>
    <dgm:cxn modelId="{4648A37F-2E34-4BFE-B4AF-F5F5210EA291}" type="presOf" srcId="{5BCAE71C-2382-43E1-BC1F-187AA6859BDC}" destId="{1666634B-4997-4AEE-BDC2-34804E4C6F43}" srcOrd="0" destOrd="0" presId="urn:microsoft.com/office/officeart/2005/8/layout/hierarchy2"/>
    <dgm:cxn modelId="{FDEDA682-5F6B-431D-A021-7EAD8F0FDE9B}" srcId="{6F010CC2-461B-441B-A523-D80765C2839E}" destId="{E0D7158E-67D7-4A67-9227-02721D2DA146}" srcOrd="1" destOrd="0" parTransId="{A40D56A2-06F8-4243-B41B-A2C39191EB4D}" sibTransId="{FFDEA3B8-80F6-4B3B-B51C-73232B758B5C}"/>
    <dgm:cxn modelId="{4459DB84-0199-49B3-85C4-18ACF458A462}" type="presOf" srcId="{B0275BDE-F460-434C-98D1-722E35768086}" destId="{D975C6DF-1F48-4869-9A53-4384ADD3D3AC}" srcOrd="0" destOrd="0" presId="urn:microsoft.com/office/officeart/2005/8/layout/hierarchy2"/>
    <dgm:cxn modelId="{F181ED85-10D6-4D59-8F56-A00E4D829B78}" type="presOf" srcId="{E5CCB424-925B-41F0-BAAA-30BC87F41F1D}" destId="{EF58B2E1-8F4D-43DE-84FC-26255917CC37}" srcOrd="0" destOrd="0" presId="urn:microsoft.com/office/officeart/2005/8/layout/hierarchy2"/>
    <dgm:cxn modelId="{4CD0D986-7492-4973-8655-632942235706}" type="presOf" srcId="{B90C8B5F-5EEF-407A-ADC1-15F9BD5EF8F4}" destId="{9862A583-7B32-49D2-A656-2A50DFAF09E5}" srcOrd="1" destOrd="0" presId="urn:microsoft.com/office/officeart/2005/8/layout/hierarchy2"/>
    <dgm:cxn modelId="{A7C74387-2ED9-41CB-A353-D0BF46CA281F}" type="presOf" srcId="{71EEAFB1-2DC3-49FE-8EAD-20F06355E326}" destId="{86E63DBD-08D8-46A2-B1B1-92FD928429A1}" srcOrd="1" destOrd="0" presId="urn:microsoft.com/office/officeart/2005/8/layout/hierarchy2"/>
    <dgm:cxn modelId="{E0E97888-E436-475E-BA9B-0599E806A125}" type="presOf" srcId="{79782BCC-A4F1-47D9-B04C-8C2309AEE177}" destId="{3C563882-B935-4E9A-B365-F5CAE854D6CA}" srcOrd="0" destOrd="0" presId="urn:microsoft.com/office/officeart/2005/8/layout/hierarchy2"/>
    <dgm:cxn modelId="{7C47E98B-0187-4291-9668-563BA076C8BC}" srcId="{C489EB2D-B9F0-492C-BF31-5B27B8320241}" destId="{4DCB9722-41EB-480C-BF1A-FBE7008926B7}" srcOrd="2" destOrd="0" parTransId="{61238695-2CC9-43A0-A847-24FAA827AEDF}" sibTransId="{2DE0E9E5-F257-4058-B62F-B36B7500A3D4}"/>
    <dgm:cxn modelId="{8F217B8C-9B43-473C-B4E8-DEB9FE03C344}" type="presOf" srcId="{61238695-2CC9-43A0-A847-24FAA827AEDF}" destId="{C43FBB02-08C0-4092-A160-8C980DA8CF8B}" srcOrd="0" destOrd="0" presId="urn:microsoft.com/office/officeart/2005/8/layout/hierarchy2"/>
    <dgm:cxn modelId="{D226628D-429B-4C04-AF6C-5CA9B95E3006}" srcId="{A8257C75-6083-40D6-A8A9-C040DD6E1A8B}" destId="{32594B73-6901-4C99-B9B8-E4F4905C3321}" srcOrd="0" destOrd="0" parTransId="{3EC0ACF3-9387-4BC0-8395-CFBDF6108E0A}" sibTransId="{83D65528-8CC4-4341-BA9D-21B54E747601}"/>
    <dgm:cxn modelId="{028D958E-83AE-4167-B7EC-B7F911249055}" srcId="{C489EB2D-B9F0-492C-BF31-5B27B8320241}" destId="{E5CCB424-925B-41F0-BAAA-30BC87F41F1D}" srcOrd="1" destOrd="0" parTransId="{79E96F2F-2306-4B5C-AC22-3C69A21D5CA2}" sibTransId="{B03BFC60-D4AF-4C53-A8B2-304214861CB3}"/>
    <dgm:cxn modelId="{43867A92-B39D-45E2-8D3E-A7E74CD784F5}" type="presOf" srcId="{4A3DD9CF-720A-44D6-8751-477FDABE7AF6}" destId="{55D4E1F5-F892-497E-9DB7-B9FA2D406172}" srcOrd="0" destOrd="0" presId="urn:microsoft.com/office/officeart/2005/8/layout/hierarchy2"/>
    <dgm:cxn modelId="{63EC6093-54E3-4635-B80F-DBF833E0D323}" type="presOf" srcId="{B2DBB00D-1720-4492-BA7B-97F923A1D0C1}" destId="{C86F498D-545A-41DC-B968-C70F0BA49E5A}" srcOrd="0" destOrd="0" presId="urn:microsoft.com/office/officeart/2005/8/layout/hierarchy2"/>
    <dgm:cxn modelId="{69F6659E-78C2-4FA6-9523-A590BC37C81B}" type="presOf" srcId="{24AA6174-1931-4669-A8E8-47C7AD017C73}" destId="{D8C6C875-7AAB-4767-9FB9-EC0AB1611730}" srcOrd="0" destOrd="0" presId="urn:microsoft.com/office/officeart/2005/8/layout/hierarchy2"/>
    <dgm:cxn modelId="{41CBB79E-C2B3-4F07-9BE1-8DBB80BDE309}" srcId="{236ED2A6-C6DE-4AAB-9AE5-9BFC333F8501}" destId="{DC54C6CB-B5B7-47E9-97E2-3E3BA63801DD}" srcOrd="3" destOrd="0" parTransId="{1BA94AB6-C63B-4681-92E8-78FFDEC51868}" sibTransId="{FB2D647F-9529-4434-B9A1-723CF79DDDDC}"/>
    <dgm:cxn modelId="{826CED9E-06BC-4FE4-9A11-FC41D86E7112}" type="presOf" srcId="{C97DAB7A-CA61-481C-86FC-873464222D79}" destId="{C3215FC4-2A99-45B2-9FCB-B571243D418B}" srcOrd="0" destOrd="0" presId="urn:microsoft.com/office/officeart/2005/8/layout/hierarchy2"/>
    <dgm:cxn modelId="{8CFB7AA0-5BC9-4D22-8A49-A917C2D6C0D0}" type="presOf" srcId="{E0821B91-F679-433E-AE11-4B3AD3F2E0BD}" destId="{DAF41DF9-1BBD-4AC5-B29B-BA2085B139D0}" srcOrd="1" destOrd="0" presId="urn:microsoft.com/office/officeart/2005/8/layout/hierarchy2"/>
    <dgm:cxn modelId="{D0C1AEA1-90CB-4168-8997-379BA70BF224}" type="presOf" srcId="{23BBFA85-6104-4A97-8F78-E82E909B69BD}" destId="{4A577E75-FF5E-4175-AAC6-273BAD6F6639}" srcOrd="0" destOrd="0" presId="urn:microsoft.com/office/officeart/2005/8/layout/hierarchy2"/>
    <dgm:cxn modelId="{E13159A4-1AA8-4B41-97AE-9F11FB610E69}" type="presOf" srcId="{8CEBBDC0-7D50-4752-9EF3-4DB4BE315394}" destId="{31E2E338-3E72-4B42-A017-3574F553601B}" srcOrd="0" destOrd="0" presId="urn:microsoft.com/office/officeart/2005/8/layout/hierarchy2"/>
    <dgm:cxn modelId="{400767A8-F0E8-4EB9-9253-28C50E3F785C}" type="presOf" srcId="{DC54C6CB-B5B7-47E9-97E2-3E3BA63801DD}" destId="{E58307EC-3C87-4E8B-97C2-994DB3B57AAD}" srcOrd="0" destOrd="0" presId="urn:microsoft.com/office/officeart/2005/8/layout/hierarchy2"/>
    <dgm:cxn modelId="{8C555EAE-EB0F-4BA8-8000-486D3860A514}" type="presOf" srcId="{299F786D-5692-4E27-900E-F283D331BE6C}" destId="{72DC347F-07E8-42A9-B9B7-BD380E60C282}" srcOrd="0" destOrd="0" presId="urn:microsoft.com/office/officeart/2005/8/layout/hierarchy2"/>
    <dgm:cxn modelId="{91FBCBAF-CC29-43B3-B31E-5811C1247BBF}" type="presOf" srcId="{3B1EE30C-47F7-4F4E-982F-3EA8EAF5B154}" destId="{9D81AA89-4AB9-4B34-A411-AD7C0334CAFC}" srcOrd="1" destOrd="0" presId="urn:microsoft.com/office/officeart/2005/8/layout/hierarchy2"/>
    <dgm:cxn modelId="{8CFBADB0-72EF-4950-BE9F-887DC965FE44}" type="presOf" srcId="{8C00304E-097A-4B52-BEFC-E1ED96DC4D1F}" destId="{23762319-ACE1-4EDC-A213-3B26F73BB0A6}" srcOrd="0" destOrd="0" presId="urn:microsoft.com/office/officeart/2005/8/layout/hierarchy2"/>
    <dgm:cxn modelId="{1A561DB1-FFA3-4217-837D-1D42508519DA}" srcId="{236ED2A6-C6DE-4AAB-9AE5-9BFC333F8501}" destId="{A8257C75-6083-40D6-A8A9-C040DD6E1A8B}" srcOrd="0" destOrd="0" parTransId="{46753A2A-0662-4E11-A1A1-9A6D076072D3}" sibTransId="{3FB0137C-5107-4267-9C3A-3C32C3B3CD22}"/>
    <dgm:cxn modelId="{A22098B2-00B3-43A2-B814-9251DD624894}" type="presOf" srcId="{299F786D-5692-4E27-900E-F283D331BE6C}" destId="{F8546FDF-641B-4DE6-81B2-4451D905A85F}" srcOrd="1" destOrd="0" presId="urn:microsoft.com/office/officeart/2005/8/layout/hierarchy2"/>
    <dgm:cxn modelId="{280C9BB7-4707-4058-96AA-B3E7881F52F3}" type="presOf" srcId="{A40D56A2-06F8-4243-B41B-A2C39191EB4D}" destId="{FA0AE99B-1671-40ED-8D09-4264DFFA50D1}" srcOrd="1" destOrd="0" presId="urn:microsoft.com/office/officeart/2005/8/layout/hierarchy2"/>
    <dgm:cxn modelId="{40E2C9B8-C794-4F80-8A5C-5BD13C26464D}" srcId="{9F81D7FE-7C8E-4DDD-9021-BDBE901382BB}" destId="{F1263B72-679E-4CBA-9B07-193AB325454C}" srcOrd="1" destOrd="0" parTransId="{E883A15A-DC1D-4A42-A99D-2398F0C86902}" sibTransId="{01B29C51-4DA9-49BC-A268-87A448A80484}"/>
    <dgm:cxn modelId="{18337EBD-9107-4FED-A4AB-E072A090863F}" type="presOf" srcId="{1BA94AB6-C63B-4681-92E8-78FFDEC51868}" destId="{C5D221F5-E745-4BA5-8BBC-00A5A53793FD}" srcOrd="1" destOrd="0" presId="urn:microsoft.com/office/officeart/2005/8/layout/hierarchy2"/>
    <dgm:cxn modelId="{21759FBD-3806-4B34-82E8-7CB02691C00F}" type="presOf" srcId="{6C766D1B-48DD-4083-A1E1-2B25F79CBCA9}" destId="{D598212C-42EB-4708-B451-AC9CA8D44D3E}" srcOrd="0" destOrd="0" presId="urn:microsoft.com/office/officeart/2005/8/layout/hierarchy2"/>
    <dgm:cxn modelId="{4C7D99BF-615B-4C1A-8116-D346A9F0A461}" type="presOf" srcId="{B18EDA98-79AE-4C1A-BE02-8706920C7048}" destId="{D4D96907-D52F-4669-A156-41C1431D3308}" srcOrd="0" destOrd="0" presId="urn:microsoft.com/office/officeart/2005/8/layout/hierarchy2"/>
    <dgm:cxn modelId="{7E07A4C3-6C57-4C55-AC6E-0AF1119D123C}" type="presOf" srcId="{BBD41DFB-C695-4CBB-A127-65AB4FBB61C4}" destId="{C45CF74E-DC25-467D-998A-93C49E51FB9B}" srcOrd="0" destOrd="0" presId="urn:microsoft.com/office/officeart/2005/8/layout/hierarchy2"/>
    <dgm:cxn modelId="{D993E2C7-10B6-4917-9C11-3523635CD4A6}" type="presOf" srcId="{40095E92-5A50-4FD7-9DC7-54C0ED4E471F}" destId="{ECA161AC-D090-45AC-946D-6C93F5F92BB9}" srcOrd="0" destOrd="0" presId="urn:microsoft.com/office/officeart/2005/8/layout/hierarchy2"/>
    <dgm:cxn modelId="{73BF9AC8-BE56-4D4F-9534-2197480C4B94}" type="presOf" srcId="{3D12E1D8-7327-4701-B123-7EEB420863E5}" destId="{A91AF713-0952-4D64-8E0D-B037557AD755}" srcOrd="0" destOrd="0" presId="urn:microsoft.com/office/officeart/2005/8/layout/hierarchy2"/>
    <dgm:cxn modelId="{0756DAC8-4508-42AC-B0B2-CA3F19144354}" srcId="{24AA6174-1931-4669-A8E8-47C7AD017C73}" destId="{8CEBBDC0-7D50-4752-9EF3-4DB4BE315394}" srcOrd="2" destOrd="0" parTransId="{CD38772C-9D81-44C2-99B9-A1492C9FD469}" sibTransId="{2474DB33-713C-4534-8643-3D59E0DE4540}"/>
    <dgm:cxn modelId="{E29616C9-3484-41A3-83DB-4351AE1D9AD1}" srcId="{45F3BCC3-4660-4C41-8275-98F46E4B624F}" destId="{E7891865-AC87-479E-9820-662B8AC51F36}" srcOrd="1" destOrd="0" parTransId="{AA17B3AE-4E59-4921-8099-86B94E7ED698}" sibTransId="{FF7AB592-B249-4D6F-A470-2363371B1239}"/>
    <dgm:cxn modelId="{F1969FCC-FD93-48CC-B197-02E9195C2A5C}" srcId="{DC54C6CB-B5B7-47E9-97E2-3E3BA63801DD}" destId="{219839E2-F122-4BF4-AE5F-C7277279E935}" srcOrd="0" destOrd="0" parTransId="{B18EDA98-79AE-4C1A-BE02-8706920C7048}" sibTransId="{34032269-EAF9-4013-82CB-AF327DE38EE6}"/>
    <dgm:cxn modelId="{D7D5F2CC-E2D8-475F-9491-6B36DEFDD5FD}" srcId="{6F010CC2-461B-441B-A523-D80765C2839E}" destId="{EF7BE47F-C1D0-4C58-BAA1-A8766EC87F04}" srcOrd="0" destOrd="0" parTransId="{72892D38-CBF8-4A31-A806-F0690B5D1489}" sibTransId="{88EE6E5C-9A94-418A-8597-163F726EF06E}"/>
    <dgm:cxn modelId="{19458BCD-D527-4A02-A4D7-0C2876D4A1CC}" type="presOf" srcId="{39CD6766-2B5E-4D8E-ABA1-B3B25EE689E3}" destId="{D7E5716B-AAF3-4200-BD94-EA4C046FEA22}" srcOrd="0" destOrd="0" presId="urn:microsoft.com/office/officeart/2005/8/layout/hierarchy2"/>
    <dgm:cxn modelId="{B36A2AD5-35DD-467A-80E8-8B0573531644}" srcId="{5BCAE71C-2382-43E1-BC1F-187AA6859BDC}" destId="{C97DAB7A-CA61-481C-86FC-873464222D79}" srcOrd="1" destOrd="0" parTransId="{B2DBB00D-1720-4492-BA7B-97F923A1D0C1}" sibTransId="{4835C277-E985-4341-8267-B9632517C4B9}"/>
    <dgm:cxn modelId="{30FF78D8-E5B3-4349-88A7-ED136C2A75E8}" type="presOf" srcId="{F313103F-91E5-4C39-BB16-3D113D62BF02}" destId="{78BC6D7D-B441-494D-B721-D03D80379CF6}" srcOrd="0" destOrd="0" presId="urn:microsoft.com/office/officeart/2005/8/layout/hierarchy2"/>
    <dgm:cxn modelId="{C5A611DA-DC25-4E79-A214-27016A8750F0}" type="presOf" srcId="{46753A2A-0662-4E11-A1A1-9A6D076072D3}" destId="{D2FE820F-46D7-4482-9F24-57E3F5425A0E}" srcOrd="1" destOrd="0" presId="urn:microsoft.com/office/officeart/2005/8/layout/hierarchy2"/>
    <dgm:cxn modelId="{BC2E9BDA-3604-44B2-A02F-02C5D94DD729}" type="presOf" srcId="{45F3BCC3-4660-4C41-8275-98F46E4B624F}" destId="{E7ECED2F-FDDA-4478-A3C2-7C0A472E6F39}" srcOrd="0" destOrd="0" presId="urn:microsoft.com/office/officeart/2005/8/layout/hierarchy2"/>
    <dgm:cxn modelId="{2B3F6BDC-A668-41A1-B95B-79AA067A1474}" type="presOf" srcId="{4DCB9722-41EB-480C-BF1A-FBE7008926B7}" destId="{26CAE0B6-4B1A-4A07-9248-1F1FAB7F75E5}" srcOrd="0" destOrd="0" presId="urn:microsoft.com/office/officeart/2005/8/layout/hierarchy2"/>
    <dgm:cxn modelId="{6FBB6ADF-4B42-44B8-9497-139488DFB0A3}" srcId="{E7891865-AC87-479E-9820-662B8AC51F36}" destId="{D6024656-CFC1-494F-9B3C-6D48C50548CC}" srcOrd="0" destOrd="0" parTransId="{53561E31-B59C-4469-8218-430DD5312286}" sibTransId="{CC2571B6-2E98-42FE-A6F3-47DFBDDFA3E8}"/>
    <dgm:cxn modelId="{6938A5E1-3C41-4A94-9318-049297C9856B}" type="presOf" srcId="{1BA94AB6-C63B-4681-92E8-78FFDEC51868}" destId="{372436AE-A903-42B2-942B-52DBBB32A021}" srcOrd="0" destOrd="0" presId="urn:microsoft.com/office/officeart/2005/8/layout/hierarchy2"/>
    <dgm:cxn modelId="{0496C5E1-9340-4B43-BC7F-06808254FE3C}" srcId="{DC54C6CB-B5B7-47E9-97E2-3E3BA63801DD}" destId="{52969E13-1B00-402C-83B7-07297354394B}" srcOrd="2" destOrd="0" parTransId="{79782BCC-A4F1-47D9-B04C-8C2309AEE177}" sibTransId="{449E54EE-4E68-4E9B-9095-BF496E9EE6EE}"/>
    <dgm:cxn modelId="{936DFFE1-79AD-4146-89E1-8E984F48E0EE}" srcId="{236ED2A6-C6DE-4AAB-9AE5-9BFC333F8501}" destId="{6F010CC2-461B-441B-A523-D80765C2839E}" srcOrd="2" destOrd="0" parTransId="{B0275BDE-F460-434C-98D1-722E35768086}" sibTransId="{15DFAD44-11D0-40C2-AEB9-8681A95D6DC7}"/>
    <dgm:cxn modelId="{45451CE5-E712-43D1-8E64-FEBDF1E90119}" type="presOf" srcId="{BBD41DFB-C695-4CBB-A127-65AB4FBB61C4}" destId="{E9619A82-21E4-4F32-A005-DBA38A669473}" srcOrd="1" destOrd="0" presId="urn:microsoft.com/office/officeart/2005/8/layout/hierarchy2"/>
    <dgm:cxn modelId="{95E3AFE6-2199-46E3-8416-CCE937BECE6A}" type="presOf" srcId="{2BD4BDC3-06B7-47FA-8E8A-BBDD87CD788B}" destId="{F6429301-95BB-4746-8868-8B70FED04239}" srcOrd="1" destOrd="0" presId="urn:microsoft.com/office/officeart/2005/8/layout/hierarchy2"/>
    <dgm:cxn modelId="{34A5BFE7-02A0-414F-A073-16C1BD10CF59}" type="presOf" srcId="{A8257C75-6083-40D6-A8A9-C040DD6E1A8B}" destId="{CF1010A8-174A-48A5-B042-AF91FB6863D1}" srcOrd="0" destOrd="0" presId="urn:microsoft.com/office/officeart/2005/8/layout/hierarchy2"/>
    <dgm:cxn modelId="{6C66E9E8-BE8D-40D7-B23A-34970D3BCF30}" type="presOf" srcId="{3EC0ACF3-9387-4BC0-8395-CFBDF6108E0A}" destId="{DEB521C1-7AF7-4AE8-8D8F-BDBD4E46BD80}" srcOrd="1" destOrd="0" presId="urn:microsoft.com/office/officeart/2005/8/layout/hierarchy2"/>
    <dgm:cxn modelId="{D0704BEA-C7A3-4887-98FC-09A7C997307A}" type="presOf" srcId="{3FE39248-0E9B-45F1-8363-915D46B7DD43}" destId="{03B3E8A5-90EF-45FA-B810-47F42141D228}" srcOrd="0" destOrd="0" presId="urn:microsoft.com/office/officeart/2005/8/layout/hierarchy2"/>
    <dgm:cxn modelId="{52F42DEB-4061-410A-9DE1-C439B5332F38}" type="presOf" srcId="{9F81D7FE-7C8E-4DDD-9021-BDBE901382BB}" destId="{38BBCF4D-FE81-4480-A338-C5B3FEE2E537}" srcOrd="0" destOrd="0" presId="urn:microsoft.com/office/officeart/2005/8/layout/hierarchy2"/>
    <dgm:cxn modelId="{747449EC-90F4-4101-8494-1E2A35A5627A}" type="presOf" srcId="{53561E31-B59C-4469-8218-430DD5312286}" destId="{3272B62B-775E-407B-9452-8FC6E882C647}" srcOrd="1" destOrd="0" presId="urn:microsoft.com/office/officeart/2005/8/layout/hierarchy2"/>
    <dgm:cxn modelId="{9D5F95EF-A35E-4ACC-A790-8C45178B344B}" type="presOf" srcId="{219839E2-F122-4BF4-AE5F-C7277279E935}" destId="{146DA20F-D5BF-47D5-A429-6CEDB3B150A0}" srcOrd="0" destOrd="0" presId="urn:microsoft.com/office/officeart/2005/8/layout/hierarchy2"/>
    <dgm:cxn modelId="{D95B26F0-D07A-40F7-AE11-F62A9F13787E}" type="presOf" srcId="{F1263B72-679E-4CBA-9B07-193AB325454C}" destId="{26D57478-A37B-439F-93F1-6CB5A7FF6E1F}" srcOrd="0" destOrd="0" presId="urn:microsoft.com/office/officeart/2005/8/layout/hierarchy2"/>
    <dgm:cxn modelId="{979C6DF0-C6F3-4867-BD35-14982AE1C251}" type="presOf" srcId="{E883A15A-DC1D-4A42-A99D-2398F0C86902}" destId="{E00BBAC6-5BB8-4D46-A8A3-955ED5281D75}" srcOrd="0" destOrd="0" presId="urn:microsoft.com/office/officeart/2005/8/layout/hierarchy2"/>
    <dgm:cxn modelId="{3E1771F1-BCDF-46AA-85AC-7F8D9F131318}" type="presOf" srcId="{3D12E1D8-7327-4701-B123-7EEB420863E5}" destId="{8FE58CCC-C691-4FBD-812B-FAF6166C0DB1}" srcOrd="1" destOrd="0" presId="urn:microsoft.com/office/officeart/2005/8/layout/hierarchy2"/>
    <dgm:cxn modelId="{1EE152F2-F479-4E23-9EC9-71B1A7619895}" srcId="{9F81D7FE-7C8E-4DDD-9021-BDBE901382BB}" destId="{FF416919-883D-4ECF-A12F-B342B1102C81}" srcOrd="0" destOrd="0" parTransId="{4D5DA707-66C0-452B-9CF5-087CE8BA0E32}" sibTransId="{2E19E9A7-4860-4432-AA66-2E2F0DBBFF26}"/>
    <dgm:cxn modelId="{541509F6-3597-46D6-95F8-21B87CA74D74}" type="presOf" srcId="{71EEAFB1-2DC3-49FE-8EAD-20F06355E326}" destId="{B6F20738-6DA3-44A4-B2DA-859D352924AC}" srcOrd="0" destOrd="0" presId="urn:microsoft.com/office/officeart/2005/8/layout/hierarchy2"/>
    <dgm:cxn modelId="{ADED36F6-F871-493F-895F-84B3B569B238}" type="presOf" srcId="{6F010CC2-461B-441B-A523-D80765C2839E}" destId="{71093D83-133A-452A-B966-7989D6C0947F}" srcOrd="0" destOrd="0" presId="urn:microsoft.com/office/officeart/2005/8/layout/hierarchy2"/>
    <dgm:cxn modelId="{2C7C98FB-FDC4-4B82-A9E6-EA702EB2827B}" type="presOf" srcId="{AA17B3AE-4E59-4921-8099-86B94E7ED698}" destId="{49411502-BE44-4E1B-90BA-7DB77AED9718}" srcOrd="0" destOrd="0" presId="urn:microsoft.com/office/officeart/2005/8/layout/hierarchy2"/>
    <dgm:cxn modelId="{ADAD56FC-BB77-41B6-8C1B-07FBCC1E532C}" type="presOf" srcId="{E0821B91-F679-433E-AE11-4B3AD3F2E0BD}" destId="{2281EEB8-E0B7-4CB3-B503-CC9DDB85B38E}" srcOrd="0" destOrd="0" presId="urn:microsoft.com/office/officeart/2005/8/layout/hierarchy2"/>
    <dgm:cxn modelId="{436EFFFC-B8DE-4584-A4D0-75F81F952519}" type="presOf" srcId="{236ED2A6-C6DE-4AAB-9AE5-9BFC333F8501}" destId="{464CEE50-69EF-45B1-855A-76050D10DE58}" srcOrd="0" destOrd="0" presId="urn:microsoft.com/office/officeart/2005/8/layout/hierarchy2"/>
    <dgm:cxn modelId="{A6655BFD-FDAD-43C8-9AEE-210924299A1B}" srcId="{45F3BCC3-4660-4C41-8275-98F46E4B624F}" destId="{9F81D7FE-7C8E-4DDD-9021-BDBE901382BB}" srcOrd="0" destOrd="0" parTransId="{BBD41DFB-C695-4CBB-A127-65AB4FBB61C4}" sibTransId="{D685001B-234B-4FEB-B860-7D0020353BC9}"/>
    <dgm:cxn modelId="{7FEBD64C-1E2B-4566-9272-117562293B40}" type="presParOf" srcId="{2CAC73D1-2D15-4F03-9149-015C547DA445}" destId="{5E59B9F8-1980-4DFF-93DD-225542007FFC}" srcOrd="0" destOrd="0" presId="urn:microsoft.com/office/officeart/2005/8/layout/hierarchy2"/>
    <dgm:cxn modelId="{B18D1450-5A32-456D-B322-25C15655D424}" type="presParOf" srcId="{5E59B9F8-1980-4DFF-93DD-225542007FFC}" destId="{464CEE50-69EF-45B1-855A-76050D10DE58}" srcOrd="0" destOrd="0" presId="urn:microsoft.com/office/officeart/2005/8/layout/hierarchy2"/>
    <dgm:cxn modelId="{BDAD7B69-C2FD-48C1-B50F-D01281190047}" type="presParOf" srcId="{5E59B9F8-1980-4DFF-93DD-225542007FFC}" destId="{1B64D1BA-C05A-4499-BE69-CF73F548E2F9}" srcOrd="1" destOrd="0" presId="urn:microsoft.com/office/officeart/2005/8/layout/hierarchy2"/>
    <dgm:cxn modelId="{D790FE64-0656-47E6-88A8-227804C07CEE}" type="presParOf" srcId="{1B64D1BA-C05A-4499-BE69-CF73F548E2F9}" destId="{AAD0B584-E43D-4B20-9050-9D0850085C4F}" srcOrd="0" destOrd="0" presId="urn:microsoft.com/office/officeart/2005/8/layout/hierarchy2"/>
    <dgm:cxn modelId="{4BC6AA17-7BEF-4A3C-A875-705983820C1A}" type="presParOf" srcId="{AAD0B584-E43D-4B20-9050-9D0850085C4F}" destId="{D2FE820F-46D7-4482-9F24-57E3F5425A0E}" srcOrd="0" destOrd="0" presId="urn:microsoft.com/office/officeart/2005/8/layout/hierarchy2"/>
    <dgm:cxn modelId="{BC6A6BA2-7433-4C04-97B5-99D2681E1043}" type="presParOf" srcId="{1B64D1BA-C05A-4499-BE69-CF73F548E2F9}" destId="{D91B176A-03C9-4546-9684-78412EC22CBC}" srcOrd="1" destOrd="0" presId="urn:microsoft.com/office/officeart/2005/8/layout/hierarchy2"/>
    <dgm:cxn modelId="{486F3B34-03D7-4D6E-9EE7-8DE3A8424C56}" type="presParOf" srcId="{D91B176A-03C9-4546-9684-78412EC22CBC}" destId="{CF1010A8-174A-48A5-B042-AF91FB6863D1}" srcOrd="0" destOrd="0" presId="urn:microsoft.com/office/officeart/2005/8/layout/hierarchy2"/>
    <dgm:cxn modelId="{AFACBD16-A3C1-4BA2-8D22-CABDF570A238}" type="presParOf" srcId="{D91B176A-03C9-4546-9684-78412EC22CBC}" destId="{18C3CB07-049C-4154-AC4A-95BE7ADC578D}" srcOrd="1" destOrd="0" presId="urn:microsoft.com/office/officeart/2005/8/layout/hierarchy2"/>
    <dgm:cxn modelId="{5519D312-3274-4D1F-8959-9AFD5D6F21AA}" type="presParOf" srcId="{18C3CB07-049C-4154-AC4A-95BE7ADC578D}" destId="{5F3D26C0-B130-4EC4-9A76-DC7E9F3EC1A3}" srcOrd="0" destOrd="0" presId="urn:microsoft.com/office/officeart/2005/8/layout/hierarchy2"/>
    <dgm:cxn modelId="{5F962CC9-5E18-4552-88F7-B580A95B96FF}" type="presParOf" srcId="{5F3D26C0-B130-4EC4-9A76-DC7E9F3EC1A3}" destId="{DEB521C1-7AF7-4AE8-8D8F-BDBD4E46BD80}" srcOrd="0" destOrd="0" presId="urn:microsoft.com/office/officeart/2005/8/layout/hierarchy2"/>
    <dgm:cxn modelId="{7108B314-0AF7-48BF-B20E-000C93CC9EA4}" type="presParOf" srcId="{18C3CB07-049C-4154-AC4A-95BE7ADC578D}" destId="{063956C4-5D87-4965-A8D2-CFE1B0EE2463}" srcOrd="1" destOrd="0" presId="urn:microsoft.com/office/officeart/2005/8/layout/hierarchy2"/>
    <dgm:cxn modelId="{F72FB38C-3373-47FB-AB3A-1D27707B6D10}" type="presParOf" srcId="{063956C4-5D87-4965-A8D2-CFE1B0EE2463}" destId="{31BB8760-49C1-40F6-B58D-4F5037F5026A}" srcOrd="0" destOrd="0" presId="urn:microsoft.com/office/officeart/2005/8/layout/hierarchy2"/>
    <dgm:cxn modelId="{B2D19F20-7D6F-4A70-8C35-A7F55172204D}" type="presParOf" srcId="{063956C4-5D87-4965-A8D2-CFE1B0EE2463}" destId="{7A72CA1D-447D-4975-934A-C06729D33B5C}" srcOrd="1" destOrd="0" presId="urn:microsoft.com/office/officeart/2005/8/layout/hierarchy2"/>
    <dgm:cxn modelId="{DAFE0C18-BC67-40A7-A940-A37F4803A53D}" type="presParOf" srcId="{1B64D1BA-C05A-4499-BE69-CF73F548E2F9}" destId="{66FDE2CC-C1A8-415F-AF7C-634CA0851C0F}" srcOrd="2" destOrd="0" presId="urn:microsoft.com/office/officeart/2005/8/layout/hierarchy2"/>
    <dgm:cxn modelId="{7E1A18DA-F5A2-433A-A44B-9600A1514E1E}" type="presParOf" srcId="{66FDE2CC-C1A8-415F-AF7C-634CA0851C0F}" destId="{9D81AA89-4AB9-4B34-A411-AD7C0334CAFC}" srcOrd="0" destOrd="0" presId="urn:microsoft.com/office/officeart/2005/8/layout/hierarchy2"/>
    <dgm:cxn modelId="{758EA447-8143-4402-981F-94B40BC4D43E}" type="presParOf" srcId="{1B64D1BA-C05A-4499-BE69-CF73F548E2F9}" destId="{6D8BA564-6818-4B81-BA20-8138CD28B38F}" srcOrd="3" destOrd="0" presId="urn:microsoft.com/office/officeart/2005/8/layout/hierarchy2"/>
    <dgm:cxn modelId="{F413E719-0E69-4C35-BA8F-4DAD0E2D63FA}" type="presParOf" srcId="{6D8BA564-6818-4B81-BA20-8138CD28B38F}" destId="{D8C6C875-7AAB-4767-9FB9-EC0AB1611730}" srcOrd="0" destOrd="0" presId="urn:microsoft.com/office/officeart/2005/8/layout/hierarchy2"/>
    <dgm:cxn modelId="{A2595266-C82A-4881-86E8-D63D3AED5574}" type="presParOf" srcId="{6D8BA564-6818-4B81-BA20-8138CD28B38F}" destId="{4710E56B-D9D4-45D0-8DA7-4CDD34FA9F09}" srcOrd="1" destOrd="0" presId="urn:microsoft.com/office/officeart/2005/8/layout/hierarchy2"/>
    <dgm:cxn modelId="{8397FB37-3D07-4E0C-A7A0-6E1EBB7096E2}" type="presParOf" srcId="{4710E56B-D9D4-45D0-8DA7-4CDD34FA9F09}" destId="{EACF1505-376F-42E6-870E-D3C358EE8E75}" srcOrd="0" destOrd="0" presId="urn:microsoft.com/office/officeart/2005/8/layout/hierarchy2"/>
    <dgm:cxn modelId="{332372E8-B443-48AC-BE90-46A627CC5986}" type="presParOf" srcId="{EACF1505-376F-42E6-870E-D3C358EE8E75}" destId="{C4B84B1C-5B2F-4246-AF5D-9862D2BA5D35}" srcOrd="0" destOrd="0" presId="urn:microsoft.com/office/officeart/2005/8/layout/hierarchy2"/>
    <dgm:cxn modelId="{BE6A193D-9437-4D04-A622-A7FD88D17B79}" type="presParOf" srcId="{4710E56B-D9D4-45D0-8DA7-4CDD34FA9F09}" destId="{B82DC601-5491-410F-9B0B-2DAB07AC0CDF}" srcOrd="1" destOrd="0" presId="urn:microsoft.com/office/officeart/2005/8/layout/hierarchy2"/>
    <dgm:cxn modelId="{02780A40-607A-44D2-9329-58C7205423F3}" type="presParOf" srcId="{B82DC601-5491-410F-9B0B-2DAB07AC0CDF}" destId="{F21C9C69-83D9-4198-AA3A-4A792948ED35}" srcOrd="0" destOrd="0" presId="urn:microsoft.com/office/officeart/2005/8/layout/hierarchy2"/>
    <dgm:cxn modelId="{2F871062-4B0F-4008-BFAA-C0A8D104C2EF}" type="presParOf" srcId="{B82DC601-5491-410F-9B0B-2DAB07AC0CDF}" destId="{ECF571B8-31FC-47AB-BF6F-3D5F581287E8}" srcOrd="1" destOrd="0" presId="urn:microsoft.com/office/officeart/2005/8/layout/hierarchy2"/>
    <dgm:cxn modelId="{900B8F47-E0AD-415F-A1A3-D46D60A0C295}" type="presParOf" srcId="{4710E56B-D9D4-45D0-8DA7-4CDD34FA9F09}" destId="{712C809E-B891-46E8-BE08-646A33AB34DF}" srcOrd="2" destOrd="0" presId="urn:microsoft.com/office/officeart/2005/8/layout/hierarchy2"/>
    <dgm:cxn modelId="{1290F8F6-7C98-4A11-AA05-A2916D556A04}" type="presParOf" srcId="{712C809E-B891-46E8-BE08-646A33AB34DF}" destId="{0969CE22-F7CB-4177-8C67-5F6AF8FE1C85}" srcOrd="0" destOrd="0" presId="urn:microsoft.com/office/officeart/2005/8/layout/hierarchy2"/>
    <dgm:cxn modelId="{8C3F8F3E-EFBE-4068-87C4-3E4FA3CC5C7C}" type="presParOf" srcId="{4710E56B-D9D4-45D0-8DA7-4CDD34FA9F09}" destId="{E4242134-E309-405B-B1B5-27E270D97CBA}" srcOrd="3" destOrd="0" presId="urn:microsoft.com/office/officeart/2005/8/layout/hierarchy2"/>
    <dgm:cxn modelId="{E2F03614-F44C-46B0-8EFC-1B82A5D9692F}" type="presParOf" srcId="{E4242134-E309-405B-B1B5-27E270D97CBA}" destId="{682B2893-B250-4801-9C36-6B4ABE9567BB}" srcOrd="0" destOrd="0" presId="urn:microsoft.com/office/officeart/2005/8/layout/hierarchy2"/>
    <dgm:cxn modelId="{84157552-F1B5-4A6F-87A6-F943605A008E}" type="presParOf" srcId="{E4242134-E309-405B-B1B5-27E270D97CBA}" destId="{0DDC1D63-2918-4AD8-BDF0-A5FBD006488B}" srcOrd="1" destOrd="0" presId="urn:microsoft.com/office/officeart/2005/8/layout/hierarchy2"/>
    <dgm:cxn modelId="{10309555-81B3-4AD6-815B-987EF7506126}" type="presParOf" srcId="{4710E56B-D9D4-45D0-8DA7-4CDD34FA9F09}" destId="{61092624-DFE9-4D0D-9453-3F731D7AE8EE}" srcOrd="4" destOrd="0" presId="urn:microsoft.com/office/officeart/2005/8/layout/hierarchy2"/>
    <dgm:cxn modelId="{00033EF9-F98F-474A-BEEA-4752326F99E0}" type="presParOf" srcId="{61092624-DFE9-4D0D-9453-3F731D7AE8EE}" destId="{A1DB1586-DD0A-4CC1-98C2-B9685AAF9726}" srcOrd="0" destOrd="0" presId="urn:microsoft.com/office/officeart/2005/8/layout/hierarchy2"/>
    <dgm:cxn modelId="{1DD50135-9BD8-4AA3-AF7C-90B5CD846CE1}" type="presParOf" srcId="{4710E56B-D9D4-45D0-8DA7-4CDD34FA9F09}" destId="{4A185440-5517-4D81-B208-7D68684AB1D1}" srcOrd="5" destOrd="0" presId="urn:microsoft.com/office/officeart/2005/8/layout/hierarchy2"/>
    <dgm:cxn modelId="{AC450D41-5AB9-4E33-BCC7-3AD247167416}" type="presParOf" srcId="{4A185440-5517-4D81-B208-7D68684AB1D1}" destId="{31E2E338-3E72-4B42-A017-3574F553601B}" srcOrd="0" destOrd="0" presId="urn:microsoft.com/office/officeart/2005/8/layout/hierarchy2"/>
    <dgm:cxn modelId="{E87493E9-B803-464D-9B3E-B67C7A26EF6A}" type="presParOf" srcId="{4A185440-5517-4D81-B208-7D68684AB1D1}" destId="{2760BF6C-3460-4423-BB7B-C97DBAFC73BA}" srcOrd="1" destOrd="0" presId="urn:microsoft.com/office/officeart/2005/8/layout/hierarchy2"/>
    <dgm:cxn modelId="{24434967-48EE-4E47-9799-BF4E5751C7AD}" type="presParOf" srcId="{4710E56B-D9D4-45D0-8DA7-4CDD34FA9F09}" destId="{D598212C-42EB-4708-B451-AC9CA8D44D3E}" srcOrd="6" destOrd="0" presId="urn:microsoft.com/office/officeart/2005/8/layout/hierarchy2"/>
    <dgm:cxn modelId="{AB867198-424C-4E94-AA9E-7CD644FCA51C}" type="presParOf" srcId="{D598212C-42EB-4708-B451-AC9CA8D44D3E}" destId="{3A8F84D3-B9BD-4B5E-A91A-1A075C69D4E6}" srcOrd="0" destOrd="0" presId="urn:microsoft.com/office/officeart/2005/8/layout/hierarchy2"/>
    <dgm:cxn modelId="{B11EE116-523B-469D-8A5D-C7077B78E63E}" type="presParOf" srcId="{4710E56B-D9D4-45D0-8DA7-4CDD34FA9F09}" destId="{49CBB78D-CB4C-46B5-9C2A-D9A41751B775}" srcOrd="7" destOrd="0" presId="urn:microsoft.com/office/officeart/2005/8/layout/hierarchy2"/>
    <dgm:cxn modelId="{E1799F89-22DC-4941-9DFE-9C7835D62196}" type="presParOf" srcId="{49CBB78D-CB4C-46B5-9C2A-D9A41751B775}" destId="{19AF4637-7FEA-4690-A4DD-27D799245FE4}" srcOrd="0" destOrd="0" presId="urn:microsoft.com/office/officeart/2005/8/layout/hierarchy2"/>
    <dgm:cxn modelId="{9BD5D206-2D2C-43BB-B53F-404CC14FA117}" type="presParOf" srcId="{49CBB78D-CB4C-46B5-9C2A-D9A41751B775}" destId="{6969DA81-0A56-488B-8096-0AA4C5894855}" srcOrd="1" destOrd="0" presId="urn:microsoft.com/office/officeart/2005/8/layout/hierarchy2"/>
    <dgm:cxn modelId="{413222A3-388A-48ED-B4F7-A785EB6F8010}" type="presParOf" srcId="{1B64D1BA-C05A-4499-BE69-CF73F548E2F9}" destId="{D975C6DF-1F48-4869-9A53-4384ADD3D3AC}" srcOrd="4" destOrd="0" presId="urn:microsoft.com/office/officeart/2005/8/layout/hierarchy2"/>
    <dgm:cxn modelId="{D255086B-6C53-42CB-BD38-8A1E464C70EF}" type="presParOf" srcId="{D975C6DF-1F48-4869-9A53-4384ADD3D3AC}" destId="{5B201AE1-88D7-4797-A05D-15A3C9A9A8B0}" srcOrd="0" destOrd="0" presId="urn:microsoft.com/office/officeart/2005/8/layout/hierarchy2"/>
    <dgm:cxn modelId="{33A9F31C-E506-4535-A51A-990C1730225F}" type="presParOf" srcId="{1B64D1BA-C05A-4499-BE69-CF73F548E2F9}" destId="{A8E6FC06-7A39-4822-9A16-45BCE41332BC}" srcOrd="5" destOrd="0" presId="urn:microsoft.com/office/officeart/2005/8/layout/hierarchy2"/>
    <dgm:cxn modelId="{EB7ED4C5-F1B2-4179-BBF6-F5B819EAD82B}" type="presParOf" srcId="{A8E6FC06-7A39-4822-9A16-45BCE41332BC}" destId="{71093D83-133A-452A-B966-7989D6C0947F}" srcOrd="0" destOrd="0" presId="urn:microsoft.com/office/officeart/2005/8/layout/hierarchy2"/>
    <dgm:cxn modelId="{CBDF7217-72ED-4FC0-847B-B44A64FBA008}" type="presParOf" srcId="{A8E6FC06-7A39-4822-9A16-45BCE41332BC}" destId="{B5E457A6-8721-4DDA-8096-A031E69B8981}" srcOrd="1" destOrd="0" presId="urn:microsoft.com/office/officeart/2005/8/layout/hierarchy2"/>
    <dgm:cxn modelId="{4BD1BBBE-80EA-4F47-A5AF-97A9F10AABD5}" type="presParOf" srcId="{B5E457A6-8721-4DDA-8096-A031E69B8981}" destId="{9FAF14BE-DF74-49A8-AD28-95432D77EAF5}" srcOrd="0" destOrd="0" presId="urn:microsoft.com/office/officeart/2005/8/layout/hierarchy2"/>
    <dgm:cxn modelId="{3B4739C1-33F2-4C24-86CA-73FD0E0B6996}" type="presParOf" srcId="{9FAF14BE-DF74-49A8-AD28-95432D77EAF5}" destId="{46536611-C4AA-49DF-BE07-07271D10BEC8}" srcOrd="0" destOrd="0" presId="urn:microsoft.com/office/officeart/2005/8/layout/hierarchy2"/>
    <dgm:cxn modelId="{BDFAAD46-E202-46C3-AE24-11FBEA6FB5D6}" type="presParOf" srcId="{B5E457A6-8721-4DDA-8096-A031E69B8981}" destId="{988A5806-0253-412D-8BA9-73C43F770F7A}" srcOrd="1" destOrd="0" presId="urn:microsoft.com/office/officeart/2005/8/layout/hierarchy2"/>
    <dgm:cxn modelId="{99BDFFE1-F343-4288-BF06-B6302E7ACAE9}" type="presParOf" srcId="{988A5806-0253-412D-8BA9-73C43F770F7A}" destId="{88E72931-3C73-48FC-ABBC-E416941CD464}" srcOrd="0" destOrd="0" presId="urn:microsoft.com/office/officeart/2005/8/layout/hierarchy2"/>
    <dgm:cxn modelId="{4FEF0467-B860-447F-B30C-E35DF850C79A}" type="presParOf" srcId="{988A5806-0253-412D-8BA9-73C43F770F7A}" destId="{BEFB861C-D890-4CC1-9FFB-9B74EFE5D24F}" srcOrd="1" destOrd="0" presId="urn:microsoft.com/office/officeart/2005/8/layout/hierarchy2"/>
    <dgm:cxn modelId="{E684857B-DFE1-483C-81ED-805D6C2D5EF9}" type="presParOf" srcId="{B5E457A6-8721-4DDA-8096-A031E69B8981}" destId="{46E58718-38C4-44F0-BFB7-0B58D42EC0A4}" srcOrd="2" destOrd="0" presId="urn:microsoft.com/office/officeart/2005/8/layout/hierarchy2"/>
    <dgm:cxn modelId="{5A2A1AFE-AE6F-42DF-A882-A2D6A58DF7F7}" type="presParOf" srcId="{46E58718-38C4-44F0-BFB7-0B58D42EC0A4}" destId="{FA0AE99B-1671-40ED-8D09-4264DFFA50D1}" srcOrd="0" destOrd="0" presId="urn:microsoft.com/office/officeart/2005/8/layout/hierarchy2"/>
    <dgm:cxn modelId="{FAE01B35-FB7B-402D-8E70-D6FEB88D337D}" type="presParOf" srcId="{B5E457A6-8721-4DDA-8096-A031E69B8981}" destId="{E4B4415B-0E1D-415B-BA4B-F4A1D61E9DA0}" srcOrd="3" destOrd="0" presId="urn:microsoft.com/office/officeart/2005/8/layout/hierarchy2"/>
    <dgm:cxn modelId="{95A8A888-CD42-4469-AD50-3B13A8362B1F}" type="presParOf" srcId="{E4B4415B-0E1D-415B-BA4B-F4A1D61E9DA0}" destId="{96ABAD13-D8BE-4D5B-BF3C-E7BC6931C8FA}" srcOrd="0" destOrd="0" presId="urn:microsoft.com/office/officeart/2005/8/layout/hierarchy2"/>
    <dgm:cxn modelId="{60401CC4-6CBF-4C0D-813A-B605E0D21965}" type="presParOf" srcId="{E4B4415B-0E1D-415B-BA4B-F4A1D61E9DA0}" destId="{6A3E6210-EBE8-408F-9745-B2B3E4B9416E}" srcOrd="1" destOrd="0" presId="urn:microsoft.com/office/officeart/2005/8/layout/hierarchy2"/>
    <dgm:cxn modelId="{6F6D3DC3-7743-468C-A280-988D2BB1C058}" type="presParOf" srcId="{B5E457A6-8721-4DDA-8096-A031E69B8981}" destId="{B6F20738-6DA3-44A4-B2DA-859D352924AC}" srcOrd="4" destOrd="0" presId="urn:microsoft.com/office/officeart/2005/8/layout/hierarchy2"/>
    <dgm:cxn modelId="{ADD5FF9D-D249-4297-B7B8-85477D1FA918}" type="presParOf" srcId="{B6F20738-6DA3-44A4-B2DA-859D352924AC}" destId="{86E63DBD-08D8-46A2-B1B1-92FD928429A1}" srcOrd="0" destOrd="0" presId="urn:microsoft.com/office/officeart/2005/8/layout/hierarchy2"/>
    <dgm:cxn modelId="{77107F53-CD11-4641-AD42-F5B88B717610}" type="presParOf" srcId="{B5E457A6-8721-4DDA-8096-A031E69B8981}" destId="{16E8ED8C-78FE-4393-B809-1C59A91F0051}" srcOrd="5" destOrd="0" presId="urn:microsoft.com/office/officeart/2005/8/layout/hierarchy2"/>
    <dgm:cxn modelId="{9FBE16A2-EF46-4B5C-B2CF-13DCF8AE1C1D}" type="presParOf" srcId="{16E8ED8C-78FE-4393-B809-1C59A91F0051}" destId="{78BC6D7D-B441-494D-B721-D03D80379CF6}" srcOrd="0" destOrd="0" presId="urn:microsoft.com/office/officeart/2005/8/layout/hierarchy2"/>
    <dgm:cxn modelId="{E5897917-91DF-4CF1-B4A1-7650DFB2C6C0}" type="presParOf" srcId="{16E8ED8C-78FE-4393-B809-1C59A91F0051}" destId="{E1F48BF8-B223-495B-97B0-A5F76E728189}" srcOrd="1" destOrd="0" presId="urn:microsoft.com/office/officeart/2005/8/layout/hierarchy2"/>
    <dgm:cxn modelId="{AAF32FB8-B09A-4679-9781-1BF7C730A88F}" type="presParOf" srcId="{B5E457A6-8721-4DDA-8096-A031E69B8981}" destId="{6260AF23-FDC1-4CEA-866A-6B88F944EE63}" srcOrd="6" destOrd="0" presId="urn:microsoft.com/office/officeart/2005/8/layout/hierarchy2"/>
    <dgm:cxn modelId="{0CD1D53D-F694-45B7-8283-22F224928BD8}" type="presParOf" srcId="{6260AF23-FDC1-4CEA-866A-6B88F944EE63}" destId="{F23F1282-E8A9-42CB-AF86-F1D48DADB0D3}" srcOrd="0" destOrd="0" presId="urn:microsoft.com/office/officeart/2005/8/layout/hierarchy2"/>
    <dgm:cxn modelId="{AE27DD0A-749B-457B-9E93-3F1663634A85}" type="presParOf" srcId="{B5E457A6-8721-4DDA-8096-A031E69B8981}" destId="{9F0A78BC-1D7F-4340-928B-302832B76E98}" srcOrd="7" destOrd="0" presId="urn:microsoft.com/office/officeart/2005/8/layout/hierarchy2"/>
    <dgm:cxn modelId="{94FB1429-C4CC-4F98-BEC9-DD7C21C1ECCC}" type="presParOf" srcId="{9F0A78BC-1D7F-4340-928B-302832B76E98}" destId="{64294F35-AEC2-41F2-BD32-9A3D1647D3F5}" srcOrd="0" destOrd="0" presId="urn:microsoft.com/office/officeart/2005/8/layout/hierarchy2"/>
    <dgm:cxn modelId="{4E8C3004-8DF7-4CC5-97F2-CC1D2D018526}" type="presParOf" srcId="{9F0A78BC-1D7F-4340-928B-302832B76E98}" destId="{0AF336CC-B749-4F43-832E-944C629B7F01}" srcOrd="1" destOrd="0" presId="urn:microsoft.com/office/officeart/2005/8/layout/hierarchy2"/>
    <dgm:cxn modelId="{CE37A9C8-5F06-4116-85B5-0ED7F07BF1E9}" type="presParOf" srcId="{1B64D1BA-C05A-4499-BE69-CF73F548E2F9}" destId="{372436AE-A903-42B2-942B-52DBBB32A021}" srcOrd="6" destOrd="0" presId="urn:microsoft.com/office/officeart/2005/8/layout/hierarchy2"/>
    <dgm:cxn modelId="{365DB39C-3659-41D3-BC8D-9CE5B8549C2D}" type="presParOf" srcId="{372436AE-A903-42B2-942B-52DBBB32A021}" destId="{C5D221F5-E745-4BA5-8BBC-00A5A53793FD}" srcOrd="0" destOrd="0" presId="urn:microsoft.com/office/officeart/2005/8/layout/hierarchy2"/>
    <dgm:cxn modelId="{349616FC-48E3-4982-A9B4-224788057DB2}" type="presParOf" srcId="{1B64D1BA-C05A-4499-BE69-CF73F548E2F9}" destId="{A55050A1-8CBA-401C-9C7B-B5EC3772FC10}" srcOrd="7" destOrd="0" presId="urn:microsoft.com/office/officeart/2005/8/layout/hierarchy2"/>
    <dgm:cxn modelId="{12DEB438-4B07-4813-AF90-41B92A7CA156}" type="presParOf" srcId="{A55050A1-8CBA-401C-9C7B-B5EC3772FC10}" destId="{E58307EC-3C87-4E8B-97C2-994DB3B57AAD}" srcOrd="0" destOrd="0" presId="urn:microsoft.com/office/officeart/2005/8/layout/hierarchy2"/>
    <dgm:cxn modelId="{742DF314-BEE4-40AF-B629-93D7A061AA15}" type="presParOf" srcId="{A55050A1-8CBA-401C-9C7B-B5EC3772FC10}" destId="{0BFA9263-A88D-4CC8-A62A-767200DEF396}" srcOrd="1" destOrd="0" presId="urn:microsoft.com/office/officeart/2005/8/layout/hierarchy2"/>
    <dgm:cxn modelId="{CDC59B60-2B45-427E-9FB1-18F74A991979}" type="presParOf" srcId="{0BFA9263-A88D-4CC8-A62A-767200DEF396}" destId="{D4D96907-D52F-4669-A156-41C1431D3308}" srcOrd="0" destOrd="0" presId="urn:microsoft.com/office/officeart/2005/8/layout/hierarchy2"/>
    <dgm:cxn modelId="{0FE5FBAE-1680-4ACE-BBB0-67D382238E34}" type="presParOf" srcId="{D4D96907-D52F-4669-A156-41C1431D3308}" destId="{DED8DCEB-C8D2-4E73-981C-85FDBABC8960}" srcOrd="0" destOrd="0" presId="urn:microsoft.com/office/officeart/2005/8/layout/hierarchy2"/>
    <dgm:cxn modelId="{5C5DFC98-D47D-48E5-823B-1EB56EF52DE9}" type="presParOf" srcId="{0BFA9263-A88D-4CC8-A62A-767200DEF396}" destId="{93978D51-FA8C-427D-956B-FD658388CC9A}" srcOrd="1" destOrd="0" presId="urn:microsoft.com/office/officeart/2005/8/layout/hierarchy2"/>
    <dgm:cxn modelId="{5B92CD11-AA25-4C35-BBC8-0C5AC592CDD9}" type="presParOf" srcId="{93978D51-FA8C-427D-956B-FD658388CC9A}" destId="{146DA20F-D5BF-47D5-A429-6CEDB3B150A0}" srcOrd="0" destOrd="0" presId="urn:microsoft.com/office/officeart/2005/8/layout/hierarchy2"/>
    <dgm:cxn modelId="{FEAB337D-F088-4A57-B0EF-598D3338C04D}" type="presParOf" srcId="{93978D51-FA8C-427D-956B-FD658388CC9A}" destId="{A60A8A50-1361-4750-99E5-E59E7C09CB0D}" srcOrd="1" destOrd="0" presId="urn:microsoft.com/office/officeart/2005/8/layout/hierarchy2"/>
    <dgm:cxn modelId="{D5CC4456-1016-4B12-A975-A1CDDEABE8D8}" type="presParOf" srcId="{0BFA9263-A88D-4CC8-A62A-767200DEF396}" destId="{D7E5716B-AAF3-4200-BD94-EA4C046FEA22}" srcOrd="2" destOrd="0" presId="urn:microsoft.com/office/officeart/2005/8/layout/hierarchy2"/>
    <dgm:cxn modelId="{E8366F86-8A65-4A93-ADE8-D3BF5D179BA8}" type="presParOf" srcId="{D7E5716B-AAF3-4200-BD94-EA4C046FEA22}" destId="{54BB266E-AC78-4907-80DA-AA205A74228A}" srcOrd="0" destOrd="0" presId="urn:microsoft.com/office/officeart/2005/8/layout/hierarchy2"/>
    <dgm:cxn modelId="{F7FBA088-661A-47A1-9378-90D38CCF21E5}" type="presParOf" srcId="{0BFA9263-A88D-4CC8-A62A-767200DEF396}" destId="{0E8C66BE-B705-41B7-9137-D8D616950140}" srcOrd="3" destOrd="0" presId="urn:microsoft.com/office/officeart/2005/8/layout/hierarchy2"/>
    <dgm:cxn modelId="{A4641FF0-30AD-4D67-81F2-30DC6CA3A509}" type="presParOf" srcId="{0E8C66BE-B705-41B7-9137-D8D616950140}" destId="{4A577E75-FF5E-4175-AAC6-273BAD6F6639}" srcOrd="0" destOrd="0" presId="urn:microsoft.com/office/officeart/2005/8/layout/hierarchy2"/>
    <dgm:cxn modelId="{CFF57347-B0E0-4FD8-87B9-6092938216E2}" type="presParOf" srcId="{0E8C66BE-B705-41B7-9137-D8D616950140}" destId="{6F397DE6-9DCC-44FF-88B4-C711692F0DDC}" srcOrd="1" destOrd="0" presId="urn:microsoft.com/office/officeart/2005/8/layout/hierarchy2"/>
    <dgm:cxn modelId="{AA4A24AC-2FC4-4E98-BF54-629CB6E4EB68}" type="presParOf" srcId="{0BFA9263-A88D-4CC8-A62A-767200DEF396}" destId="{3C563882-B935-4E9A-B365-F5CAE854D6CA}" srcOrd="4" destOrd="0" presId="urn:microsoft.com/office/officeart/2005/8/layout/hierarchy2"/>
    <dgm:cxn modelId="{9C905A81-ED10-4A65-ABE4-CEF66D5B4326}" type="presParOf" srcId="{3C563882-B935-4E9A-B365-F5CAE854D6CA}" destId="{F7643884-22C5-4995-BC1B-375C0327E9BD}" srcOrd="0" destOrd="0" presId="urn:microsoft.com/office/officeart/2005/8/layout/hierarchy2"/>
    <dgm:cxn modelId="{B11E32EA-15E1-4636-8DBD-DA82C301BE87}" type="presParOf" srcId="{0BFA9263-A88D-4CC8-A62A-767200DEF396}" destId="{CBCD64FE-03A5-4C60-8889-366920D06E1F}" srcOrd="5" destOrd="0" presId="urn:microsoft.com/office/officeart/2005/8/layout/hierarchy2"/>
    <dgm:cxn modelId="{3B4ED34E-7D68-4F62-86EB-8FC4A49CAE66}" type="presParOf" srcId="{CBCD64FE-03A5-4C60-8889-366920D06E1F}" destId="{6ED6BE51-78F3-446D-8AA8-6D7A43AA69B0}" srcOrd="0" destOrd="0" presId="urn:microsoft.com/office/officeart/2005/8/layout/hierarchy2"/>
    <dgm:cxn modelId="{4ED3605F-7584-4317-8508-B72290F62662}" type="presParOf" srcId="{CBCD64FE-03A5-4C60-8889-366920D06E1F}" destId="{01F69155-7B59-45D9-8CCB-995408813E92}" srcOrd="1" destOrd="0" presId="urn:microsoft.com/office/officeart/2005/8/layout/hierarchy2"/>
    <dgm:cxn modelId="{C301AD62-F87C-48E0-9257-86A7F5DFFAAA}" type="presParOf" srcId="{1B64D1BA-C05A-4499-BE69-CF73F548E2F9}" destId="{A8189CA4-637D-416B-A1A0-C04008298E5F}" srcOrd="8" destOrd="0" presId="urn:microsoft.com/office/officeart/2005/8/layout/hierarchy2"/>
    <dgm:cxn modelId="{690E9010-7755-423E-8AF7-BAAA0045FF01}" type="presParOf" srcId="{A8189CA4-637D-416B-A1A0-C04008298E5F}" destId="{F6429301-95BB-4746-8868-8B70FED04239}" srcOrd="0" destOrd="0" presId="urn:microsoft.com/office/officeart/2005/8/layout/hierarchy2"/>
    <dgm:cxn modelId="{6A5A70A2-0186-4C61-9396-D7E5E735F553}" type="presParOf" srcId="{1B64D1BA-C05A-4499-BE69-CF73F548E2F9}" destId="{249D3874-829C-459D-A535-8EA5986E8932}" srcOrd="9" destOrd="0" presId="urn:microsoft.com/office/officeart/2005/8/layout/hierarchy2"/>
    <dgm:cxn modelId="{44973CE9-5669-457D-9A9D-B6E569D1E2B9}" type="presParOf" srcId="{249D3874-829C-459D-A535-8EA5986E8932}" destId="{03623332-D118-40B5-9F5F-9778F7EC6A99}" srcOrd="0" destOrd="0" presId="urn:microsoft.com/office/officeart/2005/8/layout/hierarchy2"/>
    <dgm:cxn modelId="{F05A6E23-18D7-4087-8A2F-416D4F891323}" type="presParOf" srcId="{249D3874-829C-459D-A535-8EA5986E8932}" destId="{A3F2C29C-6263-4EE5-BD9B-CBDDEC97FA33}" srcOrd="1" destOrd="0" presId="urn:microsoft.com/office/officeart/2005/8/layout/hierarchy2"/>
    <dgm:cxn modelId="{45D35E1C-BE75-4EF9-B0BD-3161560E7241}" type="presParOf" srcId="{A3F2C29C-6263-4EE5-BD9B-CBDDEC97FA33}" destId="{2281EEB8-E0B7-4CB3-B503-CC9DDB85B38E}" srcOrd="0" destOrd="0" presId="urn:microsoft.com/office/officeart/2005/8/layout/hierarchy2"/>
    <dgm:cxn modelId="{C509A04B-8844-41E2-9406-3F23349268EF}" type="presParOf" srcId="{2281EEB8-E0B7-4CB3-B503-CC9DDB85B38E}" destId="{DAF41DF9-1BBD-4AC5-B29B-BA2085B139D0}" srcOrd="0" destOrd="0" presId="urn:microsoft.com/office/officeart/2005/8/layout/hierarchy2"/>
    <dgm:cxn modelId="{C086F987-807B-4A38-9947-6FB1FE77A80B}" type="presParOf" srcId="{A3F2C29C-6263-4EE5-BD9B-CBDDEC97FA33}" destId="{02546182-DCDA-4DEE-9D44-A6B74D85FF19}" srcOrd="1" destOrd="0" presId="urn:microsoft.com/office/officeart/2005/8/layout/hierarchy2"/>
    <dgm:cxn modelId="{D5C62AC5-AE89-4592-BEC2-9BCA2D0542E3}" type="presParOf" srcId="{02546182-DCDA-4DEE-9D44-A6B74D85FF19}" destId="{ECA161AC-D090-45AC-946D-6C93F5F92BB9}" srcOrd="0" destOrd="0" presId="urn:microsoft.com/office/officeart/2005/8/layout/hierarchy2"/>
    <dgm:cxn modelId="{4D4C97C1-C42A-45E0-B421-40AEA562A469}" type="presParOf" srcId="{02546182-DCDA-4DEE-9D44-A6B74D85FF19}" destId="{2EBF75C7-B11C-4DF8-A850-CD742E6E5C9B}" srcOrd="1" destOrd="0" presId="urn:microsoft.com/office/officeart/2005/8/layout/hierarchy2"/>
    <dgm:cxn modelId="{E3353222-C469-4617-BDE6-B436A2260B49}" type="presParOf" srcId="{A3F2C29C-6263-4EE5-BD9B-CBDDEC97FA33}" destId="{5C78B9A6-1B08-405F-9B8B-1C1F6B0CD323}" srcOrd="2" destOrd="0" presId="urn:microsoft.com/office/officeart/2005/8/layout/hierarchy2"/>
    <dgm:cxn modelId="{EA485C8E-84AB-41EB-A46A-DBA743B51C5A}" type="presParOf" srcId="{5C78B9A6-1B08-405F-9B8B-1C1F6B0CD323}" destId="{005CA8E5-8435-42D2-998A-7E3A374490F0}" srcOrd="0" destOrd="0" presId="urn:microsoft.com/office/officeart/2005/8/layout/hierarchy2"/>
    <dgm:cxn modelId="{340A09A8-3696-41FE-925A-0F0FB132E9F5}" type="presParOf" srcId="{A3F2C29C-6263-4EE5-BD9B-CBDDEC97FA33}" destId="{083F5E71-4C31-420D-B53F-CE05005A61DB}" srcOrd="3" destOrd="0" presId="urn:microsoft.com/office/officeart/2005/8/layout/hierarchy2"/>
    <dgm:cxn modelId="{2F35E4D4-D2AD-4F12-88FE-709086A3127E}" type="presParOf" srcId="{083F5E71-4C31-420D-B53F-CE05005A61DB}" destId="{EF58B2E1-8F4D-43DE-84FC-26255917CC37}" srcOrd="0" destOrd="0" presId="urn:microsoft.com/office/officeart/2005/8/layout/hierarchy2"/>
    <dgm:cxn modelId="{ADE33B2F-16B0-4422-ACAF-D8F223F1575F}" type="presParOf" srcId="{083F5E71-4C31-420D-B53F-CE05005A61DB}" destId="{681C07E6-018E-44F7-8611-02CB820F4975}" srcOrd="1" destOrd="0" presId="urn:microsoft.com/office/officeart/2005/8/layout/hierarchy2"/>
    <dgm:cxn modelId="{7C651458-E0F1-44A0-9D28-0F44B9013678}" type="presParOf" srcId="{A3F2C29C-6263-4EE5-BD9B-CBDDEC97FA33}" destId="{C43FBB02-08C0-4092-A160-8C980DA8CF8B}" srcOrd="4" destOrd="0" presId="urn:microsoft.com/office/officeart/2005/8/layout/hierarchy2"/>
    <dgm:cxn modelId="{9E77BB83-36D7-415F-9EA6-054E86881C2F}" type="presParOf" srcId="{C43FBB02-08C0-4092-A160-8C980DA8CF8B}" destId="{1458CA0A-C8F0-49B0-9B22-354C5DA19243}" srcOrd="0" destOrd="0" presId="urn:microsoft.com/office/officeart/2005/8/layout/hierarchy2"/>
    <dgm:cxn modelId="{F77E5A5E-B65E-49D3-A7B5-9C2C02F3EB9E}" type="presParOf" srcId="{A3F2C29C-6263-4EE5-BD9B-CBDDEC97FA33}" destId="{39BCE142-99E9-46A7-B86C-5B21A5379841}" srcOrd="5" destOrd="0" presId="urn:microsoft.com/office/officeart/2005/8/layout/hierarchy2"/>
    <dgm:cxn modelId="{868C29C1-6996-49F8-8B76-4F3F16F23CD5}" type="presParOf" srcId="{39BCE142-99E9-46A7-B86C-5B21A5379841}" destId="{26CAE0B6-4B1A-4A07-9248-1F1FAB7F75E5}" srcOrd="0" destOrd="0" presId="urn:microsoft.com/office/officeart/2005/8/layout/hierarchy2"/>
    <dgm:cxn modelId="{BC969CEE-3F73-4F74-882A-886B1CEBA95F}" type="presParOf" srcId="{39BCE142-99E9-46A7-B86C-5B21A5379841}" destId="{BC140C9B-3E00-4A6C-80FE-F89F0AA8BA37}" srcOrd="1" destOrd="0" presId="urn:microsoft.com/office/officeart/2005/8/layout/hierarchy2"/>
    <dgm:cxn modelId="{FEC553DF-8FFB-4CB3-B9DC-82650D36BE2B}" type="presParOf" srcId="{A3F2C29C-6263-4EE5-BD9B-CBDDEC97FA33}" destId="{329FD21A-5770-4601-B68B-2FB06148937A}" srcOrd="6" destOrd="0" presId="urn:microsoft.com/office/officeart/2005/8/layout/hierarchy2"/>
    <dgm:cxn modelId="{452AFB44-BCBA-45E3-A7F5-F73F9C01B8C9}" type="presParOf" srcId="{329FD21A-5770-4601-B68B-2FB06148937A}" destId="{9862A583-7B32-49D2-A656-2A50DFAF09E5}" srcOrd="0" destOrd="0" presId="urn:microsoft.com/office/officeart/2005/8/layout/hierarchy2"/>
    <dgm:cxn modelId="{3DE8D5ED-4DC2-4656-91C4-C439BAFDFA08}" type="presParOf" srcId="{A3F2C29C-6263-4EE5-BD9B-CBDDEC97FA33}" destId="{4FF353E9-0A7F-436B-A267-75A6525EF872}" srcOrd="7" destOrd="0" presId="urn:microsoft.com/office/officeart/2005/8/layout/hierarchy2"/>
    <dgm:cxn modelId="{4A8158EB-39E0-4E8D-800B-FB304F1E7F4F}" type="presParOf" srcId="{4FF353E9-0A7F-436B-A267-75A6525EF872}" destId="{DDD8CA60-47A4-40BE-AE65-DEB8E01FA1EF}" srcOrd="0" destOrd="0" presId="urn:microsoft.com/office/officeart/2005/8/layout/hierarchy2"/>
    <dgm:cxn modelId="{7A747EBE-3289-4242-849E-01BF553F3874}" type="presParOf" srcId="{4FF353E9-0A7F-436B-A267-75A6525EF872}" destId="{3979CD0F-CB8D-4233-BF80-D95115C04EEE}" srcOrd="1" destOrd="0" presId="urn:microsoft.com/office/officeart/2005/8/layout/hierarchy2"/>
    <dgm:cxn modelId="{15F27F5D-8704-4896-B4A0-AF75B380C146}" type="presParOf" srcId="{1B64D1BA-C05A-4499-BE69-CF73F548E2F9}" destId="{068A4749-5D03-4190-ADFC-856DC7C32493}" srcOrd="10" destOrd="0" presId="urn:microsoft.com/office/officeart/2005/8/layout/hierarchy2"/>
    <dgm:cxn modelId="{BDB64C53-3DA6-4F3C-94A9-E48D7524D15C}" type="presParOf" srcId="{068A4749-5D03-4190-ADFC-856DC7C32493}" destId="{9B3B27E7-5857-4806-8B11-D69A6BBCE8B9}" srcOrd="0" destOrd="0" presId="urn:microsoft.com/office/officeart/2005/8/layout/hierarchy2"/>
    <dgm:cxn modelId="{9CF283A9-5153-4D54-BD0F-6F7921404056}" type="presParOf" srcId="{1B64D1BA-C05A-4499-BE69-CF73F548E2F9}" destId="{7316572B-24C0-4F16-B74E-A1D2D37F67FB}" srcOrd="11" destOrd="0" presId="urn:microsoft.com/office/officeart/2005/8/layout/hierarchy2"/>
    <dgm:cxn modelId="{029B891F-CEAD-4EDC-B958-CEFFEBC1FBDA}" type="presParOf" srcId="{7316572B-24C0-4F16-B74E-A1D2D37F67FB}" destId="{E7ECED2F-FDDA-4478-A3C2-7C0A472E6F39}" srcOrd="0" destOrd="0" presId="urn:microsoft.com/office/officeart/2005/8/layout/hierarchy2"/>
    <dgm:cxn modelId="{4390F91A-316D-4080-9A50-C6FBD9A8CF5C}" type="presParOf" srcId="{7316572B-24C0-4F16-B74E-A1D2D37F67FB}" destId="{F5CDAB58-C5B2-4F84-A80F-4073BF7E40B1}" srcOrd="1" destOrd="0" presId="urn:microsoft.com/office/officeart/2005/8/layout/hierarchy2"/>
    <dgm:cxn modelId="{780770E2-3311-4983-BF19-3193EB633502}" type="presParOf" srcId="{F5CDAB58-C5B2-4F84-A80F-4073BF7E40B1}" destId="{C45CF74E-DC25-467D-998A-93C49E51FB9B}" srcOrd="0" destOrd="0" presId="urn:microsoft.com/office/officeart/2005/8/layout/hierarchy2"/>
    <dgm:cxn modelId="{EC4C68B8-6572-4D65-A0A6-7500BDD408FE}" type="presParOf" srcId="{C45CF74E-DC25-467D-998A-93C49E51FB9B}" destId="{E9619A82-21E4-4F32-A005-DBA38A669473}" srcOrd="0" destOrd="0" presId="urn:microsoft.com/office/officeart/2005/8/layout/hierarchy2"/>
    <dgm:cxn modelId="{9F70A9EF-5D58-4CB8-BE01-24F76BE3F8AC}" type="presParOf" srcId="{F5CDAB58-C5B2-4F84-A80F-4073BF7E40B1}" destId="{44E2E80C-00DD-47AC-96CC-E986363DFDE0}" srcOrd="1" destOrd="0" presId="urn:microsoft.com/office/officeart/2005/8/layout/hierarchy2"/>
    <dgm:cxn modelId="{CB3C568B-0F71-4771-B61A-F843FE8D7EA9}" type="presParOf" srcId="{44E2E80C-00DD-47AC-96CC-E986363DFDE0}" destId="{38BBCF4D-FE81-4480-A338-C5B3FEE2E537}" srcOrd="0" destOrd="0" presId="urn:microsoft.com/office/officeart/2005/8/layout/hierarchy2"/>
    <dgm:cxn modelId="{2E8BA9E0-43CA-436B-8193-CE35D665C63B}" type="presParOf" srcId="{44E2E80C-00DD-47AC-96CC-E986363DFDE0}" destId="{29F9F1D3-24A6-4569-9A66-8EB898E8C4B1}" srcOrd="1" destOrd="0" presId="urn:microsoft.com/office/officeart/2005/8/layout/hierarchy2"/>
    <dgm:cxn modelId="{B4654832-15E0-4C2A-9005-9679E6DC2891}" type="presParOf" srcId="{29F9F1D3-24A6-4569-9A66-8EB898E8C4B1}" destId="{BD7D3D1B-FA3D-406F-BD0F-59257E142AF6}" srcOrd="0" destOrd="0" presId="urn:microsoft.com/office/officeart/2005/8/layout/hierarchy2"/>
    <dgm:cxn modelId="{95E6F89F-4937-4670-B79F-6153CA8CD7DA}" type="presParOf" srcId="{BD7D3D1B-FA3D-406F-BD0F-59257E142AF6}" destId="{F6F7E003-C37A-4A42-8080-37A8EC0F1F73}" srcOrd="0" destOrd="0" presId="urn:microsoft.com/office/officeart/2005/8/layout/hierarchy2"/>
    <dgm:cxn modelId="{53D720E7-B128-4456-933C-FAA860CFA1B3}" type="presParOf" srcId="{29F9F1D3-24A6-4569-9A66-8EB898E8C4B1}" destId="{350D70FD-576B-43A3-A0D0-F87E7EDB0288}" srcOrd="1" destOrd="0" presId="urn:microsoft.com/office/officeart/2005/8/layout/hierarchy2"/>
    <dgm:cxn modelId="{D7F37FD9-F38E-4B0C-AC0B-A0C67B0E9279}" type="presParOf" srcId="{350D70FD-576B-43A3-A0D0-F87E7EDB0288}" destId="{33463D87-F9C6-40A1-B834-A75058FD846F}" srcOrd="0" destOrd="0" presId="urn:microsoft.com/office/officeart/2005/8/layout/hierarchy2"/>
    <dgm:cxn modelId="{FBE6A5C9-26EB-4692-8F29-3F781DC1669E}" type="presParOf" srcId="{350D70FD-576B-43A3-A0D0-F87E7EDB0288}" destId="{6A7D57A8-E94E-49E7-B977-0EDD92F1E1A7}" srcOrd="1" destOrd="0" presId="urn:microsoft.com/office/officeart/2005/8/layout/hierarchy2"/>
    <dgm:cxn modelId="{6B2F22E6-5947-44A3-828A-15D14D3D1A3F}" type="presParOf" srcId="{29F9F1D3-24A6-4569-9A66-8EB898E8C4B1}" destId="{E00BBAC6-5BB8-4D46-A8A3-955ED5281D75}" srcOrd="2" destOrd="0" presId="urn:microsoft.com/office/officeart/2005/8/layout/hierarchy2"/>
    <dgm:cxn modelId="{E68A3932-915B-4C6E-86FE-2CBF0F9C2E9C}" type="presParOf" srcId="{E00BBAC6-5BB8-4D46-A8A3-955ED5281D75}" destId="{892E8360-71BF-4DD7-950C-F02D6AA7BE8C}" srcOrd="0" destOrd="0" presId="urn:microsoft.com/office/officeart/2005/8/layout/hierarchy2"/>
    <dgm:cxn modelId="{56AE5D58-6A04-4C47-8FFA-7ECA3F690613}" type="presParOf" srcId="{29F9F1D3-24A6-4569-9A66-8EB898E8C4B1}" destId="{EDA552A4-5440-4DD2-9D98-5721FFC3ABED}" srcOrd="3" destOrd="0" presId="urn:microsoft.com/office/officeart/2005/8/layout/hierarchy2"/>
    <dgm:cxn modelId="{2E3BF9CD-3F27-40C7-B090-A079E9B4E0F2}" type="presParOf" srcId="{EDA552A4-5440-4DD2-9D98-5721FFC3ABED}" destId="{26D57478-A37B-439F-93F1-6CB5A7FF6E1F}" srcOrd="0" destOrd="0" presId="urn:microsoft.com/office/officeart/2005/8/layout/hierarchy2"/>
    <dgm:cxn modelId="{5D8C4160-5BC4-4E30-8208-2F3EEE7CEF81}" type="presParOf" srcId="{EDA552A4-5440-4DD2-9D98-5721FFC3ABED}" destId="{F09CEF30-FAED-40D3-87E2-BA5FBD8DA14D}" srcOrd="1" destOrd="0" presId="urn:microsoft.com/office/officeart/2005/8/layout/hierarchy2"/>
    <dgm:cxn modelId="{E5199F67-8D58-4CB0-89C4-ADEFED583966}" type="presParOf" srcId="{29F9F1D3-24A6-4569-9A66-8EB898E8C4B1}" destId="{A91AF713-0952-4D64-8E0D-B037557AD755}" srcOrd="4" destOrd="0" presId="urn:microsoft.com/office/officeart/2005/8/layout/hierarchy2"/>
    <dgm:cxn modelId="{B264A6E6-7F6D-438A-A700-5A785DD5D40B}" type="presParOf" srcId="{A91AF713-0952-4D64-8E0D-B037557AD755}" destId="{8FE58CCC-C691-4FBD-812B-FAF6166C0DB1}" srcOrd="0" destOrd="0" presId="urn:microsoft.com/office/officeart/2005/8/layout/hierarchy2"/>
    <dgm:cxn modelId="{80D5011A-CA00-4BD1-A0FA-DAAF1ABE6330}" type="presParOf" srcId="{29F9F1D3-24A6-4569-9A66-8EB898E8C4B1}" destId="{79EF2073-6420-4011-912C-1C0E503A7D3B}" srcOrd="5" destOrd="0" presId="urn:microsoft.com/office/officeart/2005/8/layout/hierarchy2"/>
    <dgm:cxn modelId="{87777339-0BE7-4EE0-9A43-18444CC73297}" type="presParOf" srcId="{79EF2073-6420-4011-912C-1C0E503A7D3B}" destId="{1666634B-4997-4AEE-BDC2-34804E4C6F43}" srcOrd="0" destOrd="0" presId="urn:microsoft.com/office/officeart/2005/8/layout/hierarchy2"/>
    <dgm:cxn modelId="{C456FEC3-176E-4780-ACE8-6817C9451E3E}" type="presParOf" srcId="{79EF2073-6420-4011-912C-1C0E503A7D3B}" destId="{3731D9C3-3137-4164-8430-87307DE81A7B}" srcOrd="1" destOrd="0" presId="urn:microsoft.com/office/officeart/2005/8/layout/hierarchy2"/>
    <dgm:cxn modelId="{C423C848-9E23-4F2C-882F-6DE4B37CFB75}" type="presParOf" srcId="{3731D9C3-3137-4164-8430-87307DE81A7B}" destId="{23762319-ACE1-4EDC-A213-3B26F73BB0A6}" srcOrd="0" destOrd="0" presId="urn:microsoft.com/office/officeart/2005/8/layout/hierarchy2"/>
    <dgm:cxn modelId="{31C1F50D-7BD6-4DD8-B4D2-05B25AC75353}" type="presParOf" srcId="{23762319-ACE1-4EDC-A213-3B26F73BB0A6}" destId="{AE9DDFF7-1BCE-4BAD-A141-ECBF95FD3E69}" srcOrd="0" destOrd="0" presId="urn:microsoft.com/office/officeart/2005/8/layout/hierarchy2"/>
    <dgm:cxn modelId="{4D1790D3-1A9D-40B9-9845-7E6EB4CCFDC9}" type="presParOf" srcId="{3731D9C3-3137-4164-8430-87307DE81A7B}" destId="{36807486-53CE-46A8-B9CA-4683AB81310F}" srcOrd="1" destOrd="0" presId="urn:microsoft.com/office/officeart/2005/8/layout/hierarchy2"/>
    <dgm:cxn modelId="{9706378C-4C26-4521-AF38-40797CA2B9F0}" type="presParOf" srcId="{36807486-53CE-46A8-B9CA-4683AB81310F}" destId="{55D4E1F5-F892-497E-9DB7-B9FA2D406172}" srcOrd="0" destOrd="0" presId="urn:microsoft.com/office/officeart/2005/8/layout/hierarchy2"/>
    <dgm:cxn modelId="{2DA36A4D-7525-40FF-B111-F32E190D4409}" type="presParOf" srcId="{36807486-53CE-46A8-B9CA-4683AB81310F}" destId="{BAD7EE66-0C92-44B2-9960-13C76C1A3469}" srcOrd="1" destOrd="0" presId="urn:microsoft.com/office/officeart/2005/8/layout/hierarchy2"/>
    <dgm:cxn modelId="{7D7D6C8B-880A-4586-9B4B-42A97BA80EE3}" type="presParOf" srcId="{3731D9C3-3137-4164-8430-87307DE81A7B}" destId="{C86F498D-545A-41DC-B968-C70F0BA49E5A}" srcOrd="2" destOrd="0" presId="urn:microsoft.com/office/officeart/2005/8/layout/hierarchy2"/>
    <dgm:cxn modelId="{AA540117-94B0-4E19-9468-02B614553D7A}" type="presParOf" srcId="{C86F498D-545A-41DC-B968-C70F0BA49E5A}" destId="{A25893DA-8D5F-49C4-807C-4C6D2F635042}" srcOrd="0" destOrd="0" presId="urn:microsoft.com/office/officeart/2005/8/layout/hierarchy2"/>
    <dgm:cxn modelId="{414936B5-6944-4FDC-A659-9C68E03B237C}" type="presParOf" srcId="{3731D9C3-3137-4164-8430-87307DE81A7B}" destId="{E2F939BE-84A4-4240-93C7-CD4F93871695}" srcOrd="3" destOrd="0" presId="urn:microsoft.com/office/officeart/2005/8/layout/hierarchy2"/>
    <dgm:cxn modelId="{F2F7E125-5B5C-45E6-AAA6-9652F6AE4942}" type="presParOf" srcId="{E2F939BE-84A4-4240-93C7-CD4F93871695}" destId="{C3215FC4-2A99-45B2-9FCB-B571243D418B}" srcOrd="0" destOrd="0" presId="urn:microsoft.com/office/officeart/2005/8/layout/hierarchy2"/>
    <dgm:cxn modelId="{4A3EA443-7C77-4A66-AFF3-B9CFCC80929D}" type="presParOf" srcId="{E2F939BE-84A4-4240-93C7-CD4F93871695}" destId="{97E10375-7E36-42AC-B052-DE0F563FD50D}" srcOrd="1" destOrd="0" presId="urn:microsoft.com/office/officeart/2005/8/layout/hierarchy2"/>
    <dgm:cxn modelId="{1662F71B-27A1-4CF1-A74A-491EB235AE39}" type="presParOf" srcId="{F5CDAB58-C5B2-4F84-A80F-4073BF7E40B1}" destId="{49411502-BE44-4E1B-90BA-7DB77AED9718}" srcOrd="2" destOrd="0" presId="urn:microsoft.com/office/officeart/2005/8/layout/hierarchy2"/>
    <dgm:cxn modelId="{CEDE104B-36BB-4198-9700-BE8C7B6326FA}" type="presParOf" srcId="{49411502-BE44-4E1B-90BA-7DB77AED9718}" destId="{5AF71E26-FE5F-4571-A700-E87945598D7B}" srcOrd="0" destOrd="0" presId="urn:microsoft.com/office/officeart/2005/8/layout/hierarchy2"/>
    <dgm:cxn modelId="{BD8BFF1A-1121-4D3F-B94A-27055779F4DC}" type="presParOf" srcId="{F5CDAB58-C5B2-4F84-A80F-4073BF7E40B1}" destId="{70D688BB-EF0A-46FC-848C-00DF1B95104F}" srcOrd="3" destOrd="0" presId="urn:microsoft.com/office/officeart/2005/8/layout/hierarchy2"/>
    <dgm:cxn modelId="{81770E13-9558-4790-A7AF-51189663EC34}" type="presParOf" srcId="{70D688BB-EF0A-46FC-848C-00DF1B95104F}" destId="{FE177B63-C0CC-441B-A400-C9281704BFD4}" srcOrd="0" destOrd="0" presId="urn:microsoft.com/office/officeart/2005/8/layout/hierarchy2"/>
    <dgm:cxn modelId="{05074F6B-0181-44C4-969B-82CAB1238EB9}" type="presParOf" srcId="{70D688BB-EF0A-46FC-848C-00DF1B95104F}" destId="{1F504616-E094-461A-962B-FD034ECC94A5}" srcOrd="1" destOrd="0" presId="urn:microsoft.com/office/officeart/2005/8/layout/hierarchy2"/>
    <dgm:cxn modelId="{526BE685-CF9B-4278-B719-09DE6026E7AF}" type="presParOf" srcId="{1F504616-E094-461A-962B-FD034ECC94A5}" destId="{FB5E9AAD-1F75-416E-AA8F-D0A6695E6947}" srcOrd="0" destOrd="0" presId="urn:microsoft.com/office/officeart/2005/8/layout/hierarchy2"/>
    <dgm:cxn modelId="{19A90D02-F8F4-4C7D-8395-1D841D3803A3}" type="presParOf" srcId="{FB5E9AAD-1F75-416E-AA8F-D0A6695E6947}" destId="{3272B62B-775E-407B-9452-8FC6E882C647}" srcOrd="0" destOrd="0" presId="urn:microsoft.com/office/officeart/2005/8/layout/hierarchy2"/>
    <dgm:cxn modelId="{8408600A-C169-4F25-B39B-89948C04120E}" type="presParOf" srcId="{1F504616-E094-461A-962B-FD034ECC94A5}" destId="{20EB80AF-FBD7-46E0-9DE8-4E525D823A4C}" srcOrd="1" destOrd="0" presId="urn:microsoft.com/office/officeart/2005/8/layout/hierarchy2"/>
    <dgm:cxn modelId="{3BBC9F36-592F-4ABA-AB77-5C872C3CD140}" type="presParOf" srcId="{20EB80AF-FBD7-46E0-9DE8-4E525D823A4C}" destId="{382F2F9D-5BA5-4374-B098-0C93C6C7B6EF}" srcOrd="0" destOrd="0" presId="urn:microsoft.com/office/officeart/2005/8/layout/hierarchy2"/>
    <dgm:cxn modelId="{8AED572E-1066-4598-89AF-92A759992448}" type="presParOf" srcId="{20EB80AF-FBD7-46E0-9DE8-4E525D823A4C}" destId="{D6149853-DC94-4348-9A9D-74489626426D}" srcOrd="1" destOrd="0" presId="urn:microsoft.com/office/officeart/2005/8/layout/hierarchy2"/>
    <dgm:cxn modelId="{0D40974E-64F3-494A-9148-7721BDD4F62B}" type="presParOf" srcId="{1F504616-E094-461A-962B-FD034ECC94A5}" destId="{911189FE-05D1-4A10-9511-27968F4CCD9B}" srcOrd="2" destOrd="0" presId="urn:microsoft.com/office/officeart/2005/8/layout/hierarchy2"/>
    <dgm:cxn modelId="{575A1169-0B81-47BC-B376-5C8D975E1111}" type="presParOf" srcId="{911189FE-05D1-4A10-9511-27968F4CCD9B}" destId="{5A97D47E-027B-4A52-AC5C-258D10405EFD}" srcOrd="0" destOrd="0" presId="urn:microsoft.com/office/officeart/2005/8/layout/hierarchy2"/>
    <dgm:cxn modelId="{633C31F8-570E-41B1-88AC-2CCEC5F5D5C5}" type="presParOf" srcId="{1F504616-E094-461A-962B-FD034ECC94A5}" destId="{8ADE14CF-F666-4064-9DF9-22D94267A654}" srcOrd="3" destOrd="0" presId="urn:microsoft.com/office/officeart/2005/8/layout/hierarchy2"/>
    <dgm:cxn modelId="{6343F9DB-F32C-4A93-A596-937BEC79A2D1}" type="presParOf" srcId="{8ADE14CF-F666-4064-9DF9-22D94267A654}" destId="{AF353D93-6CDF-4BBD-9991-4529E8D6B140}" srcOrd="0" destOrd="0" presId="urn:microsoft.com/office/officeart/2005/8/layout/hierarchy2"/>
    <dgm:cxn modelId="{B1B9D0A8-E161-419D-A9DF-1FE9204E003A}" type="presParOf" srcId="{8ADE14CF-F666-4064-9DF9-22D94267A654}" destId="{72DAB06B-0F58-4C8D-A0EC-47B15A7AD63C}" srcOrd="1" destOrd="0" presId="urn:microsoft.com/office/officeart/2005/8/layout/hierarchy2"/>
    <dgm:cxn modelId="{575F9B77-5AD5-4755-A47C-9F36CFD94E6C}" type="presParOf" srcId="{1F504616-E094-461A-962B-FD034ECC94A5}" destId="{72DC347F-07E8-42A9-B9B7-BD380E60C282}" srcOrd="4" destOrd="0" presId="urn:microsoft.com/office/officeart/2005/8/layout/hierarchy2"/>
    <dgm:cxn modelId="{D2D35FED-4699-46FE-9F2E-33C88AB7E09D}" type="presParOf" srcId="{72DC347F-07E8-42A9-B9B7-BD380E60C282}" destId="{F8546FDF-641B-4DE6-81B2-4451D905A85F}" srcOrd="0" destOrd="0" presId="urn:microsoft.com/office/officeart/2005/8/layout/hierarchy2"/>
    <dgm:cxn modelId="{09C1EFF7-4817-4E59-904C-CCF96443B01D}" type="presParOf" srcId="{1F504616-E094-461A-962B-FD034ECC94A5}" destId="{2F12BDCA-DD8F-4102-ABB7-371BF5DBF4CA}" srcOrd="5" destOrd="0" presId="urn:microsoft.com/office/officeart/2005/8/layout/hierarchy2"/>
    <dgm:cxn modelId="{8B5EE456-C0BA-4CC6-9A45-62D1E79F9BCB}" type="presParOf" srcId="{2F12BDCA-DD8F-4102-ABB7-371BF5DBF4CA}" destId="{03B3E8A5-90EF-45FA-B810-47F42141D228}" srcOrd="0" destOrd="0" presId="urn:microsoft.com/office/officeart/2005/8/layout/hierarchy2"/>
    <dgm:cxn modelId="{ED840A85-6A0D-49AE-A871-775DD29813F4}" type="presParOf" srcId="{2F12BDCA-DD8F-4102-ABB7-371BF5DBF4CA}" destId="{44E5BC35-E5F2-4DA5-B4B9-2DF0F3D34F24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E170DEDF-F637-4E76-8653-4164A5E3CC76}" type="doc">
      <dgm:prSet loTypeId="urn:microsoft.com/office/officeart/2005/8/layout/hierarchy2" loCatId="hierarchy" qsTypeId="urn:microsoft.com/office/officeart/2005/8/quickstyle/simple1" qsCatId="simple" csTypeId="urn:microsoft.com/office/officeart/2005/8/colors/accent0_2" csCatId="mainScheme" phldr="1"/>
      <dgm:spPr/>
      <dgm:t>
        <a:bodyPr/>
        <a:lstStyle/>
        <a:p>
          <a:endParaRPr lang="en-US"/>
        </a:p>
      </dgm:t>
    </dgm:pt>
    <dgm:pt modelId="{DC54C6CB-B5B7-47E9-97E2-3E3BA63801DD}">
      <dgm:prSet phldrT="[Text]" custT="1"/>
      <dgm:spPr/>
      <dgm:t>
        <a:bodyPr/>
        <a:lstStyle/>
        <a:p>
          <a:r>
            <a:rPr lang="en-US" sz="800" b="1"/>
            <a:t>Level</a:t>
          </a:r>
          <a:br>
            <a:rPr lang="en-US" sz="800"/>
          </a:br>
          <a:r>
            <a:rPr lang="en-US" sz="700"/>
            <a:t>difficulty</a:t>
          </a:r>
          <a:endParaRPr lang="en-US" sz="800"/>
        </a:p>
      </dgm:t>
    </dgm:pt>
    <dgm:pt modelId="{1BA94AB6-C63B-4681-92E8-78FFDEC51868}" type="parTrans" cxnId="{41CBB79E-C2B3-4F07-9BE1-8DBB80BDE309}">
      <dgm:prSet/>
      <dgm:spPr/>
      <dgm:t>
        <a:bodyPr/>
        <a:lstStyle/>
        <a:p>
          <a:endParaRPr lang="en-US"/>
        </a:p>
      </dgm:t>
    </dgm:pt>
    <dgm:pt modelId="{FB2D647F-9529-4434-B9A1-723CF79DDDDC}" type="sibTrans" cxnId="{41CBB79E-C2B3-4F07-9BE1-8DBB80BDE309}">
      <dgm:prSet/>
      <dgm:spPr/>
      <dgm:t>
        <a:bodyPr/>
        <a:lstStyle/>
        <a:p>
          <a:endParaRPr lang="en-US"/>
        </a:p>
      </dgm:t>
    </dgm:pt>
    <dgm:pt modelId="{219839E2-F122-4BF4-AE5F-C7277279E935}">
      <dgm:prSet phldrT="[Text]" custT="1"/>
      <dgm:spPr/>
      <dgm:t>
        <a:bodyPr/>
        <a:lstStyle/>
        <a:p>
          <a:r>
            <a:rPr lang="en-US" sz="700"/>
            <a:t>1: Two second intervals between each round</a:t>
          </a:r>
        </a:p>
      </dgm:t>
    </dgm:pt>
    <dgm:pt modelId="{B18EDA98-79AE-4C1A-BE02-8706920C7048}" type="parTrans" cxnId="{F1969FCC-FD93-48CC-B197-02E9195C2A5C}">
      <dgm:prSet/>
      <dgm:spPr/>
      <dgm:t>
        <a:bodyPr/>
        <a:lstStyle/>
        <a:p>
          <a:endParaRPr lang="en-US"/>
        </a:p>
      </dgm:t>
    </dgm:pt>
    <dgm:pt modelId="{34032269-EAF9-4013-82CB-AF327DE38EE6}" type="sibTrans" cxnId="{F1969FCC-FD93-48CC-B197-02E9195C2A5C}">
      <dgm:prSet/>
      <dgm:spPr/>
      <dgm:t>
        <a:bodyPr/>
        <a:lstStyle/>
        <a:p>
          <a:endParaRPr lang="en-US"/>
        </a:p>
      </dgm:t>
    </dgm:pt>
    <dgm:pt modelId="{C489EB2D-B9F0-492C-BF31-5B27B8320241}">
      <dgm:prSet phldrT="[Text]" custT="1"/>
      <dgm:spPr/>
      <dgm:t>
        <a:bodyPr/>
        <a:lstStyle/>
        <a:p>
          <a:r>
            <a:rPr lang="en-US" sz="800" b="1"/>
            <a:t>Rest</a:t>
          </a:r>
          <a:br>
            <a:rPr lang="en-US" sz="800"/>
          </a:br>
          <a:r>
            <a:rPr lang="en-US" sz="700"/>
            <a:t>rest duration between each round when rd&gt;1</a:t>
          </a:r>
          <a:endParaRPr lang="en-US" sz="800"/>
        </a:p>
      </dgm:t>
    </dgm:pt>
    <dgm:pt modelId="{2BD4BDC3-06B7-47FA-8E8A-BBDD87CD788B}" type="parTrans" cxnId="{1EDB7136-3D1A-45D4-A7B3-9D324E663244}">
      <dgm:prSet/>
      <dgm:spPr/>
      <dgm:t>
        <a:bodyPr/>
        <a:lstStyle/>
        <a:p>
          <a:endParaRPr lang="en-US"/>
        </a:p>
      </dgm:t>
    </dgm:pt>
    <dgm:pt modelId="{675B49F9-031A-43AC-8B6F-5AFE2C390B88}" type="sibTrans" cxnId="{1EDB7136-3D1A-45D4-A7B3-9D324E663244}">
      <dgm:prSet/>
      <dgm:spPr/>
      <dgm:t>
        <a:bodyPr/>
        <a:lstStyle/>
        <a:p>
          <a:endParaRPr lang="en-US"/>
        </a:p>
      </dgm:t>
    </dgm:pt>
    <dgm:pt modelId="{40095E92-5A50-4FD7-9DC7-54C0ED4E471F}">
      <dgm:prSet phldrT="[Text]" custT="1"/>
      <dgm:spPr/>
      <dgm:t>
        <a:bodyPr/>
        <a:lstStyle/>
        <a:p>
          <a:r>
            <a:rPr lang="en-US" sz="700"/>
            <a:t>0:10</a:t>
          </a:r>
        </a:p>
      </dgm:t>
    </dgm:pt>
    <dgm:pt modelId="{E0821B91-F679-433E-AE11-4B3AD3F2E0BD}" type="parTrans" cxnId="{37B71B5F-EFCD-47EC-B962-906A2B4FC907}">
      <dgm:prSet/>
      <dgm:spPr/>
      <dgm:t>
        <a:bodyPr/>
        <a:lstStyle/>
        <a:p>
          <a:endParaRPr lang="en-US"/>
        </a:p>
      </dgm:t>
    </dgm:pt>
    <dgm:pt modelId="{2156FAAC-589D-40C7-9CF8-50387B4C194B}" type="sibTrans" cxnId="{37B71B5F-EFCD-47EC-B962-906A2B4FC907}">
      <dgm:prSet/>
      <dgm:spPr/>
      <dgm:t>
        <a:bodyPr/>
        <a:lstStyle/>
        <a:p>
          <a:endParaRPr lang="en-US"/>
        </a:p>
      </dgm:t>
    </dgm:pt>
    <dgm:pt modelId="{6F010CC2-461B-441B-A523-D80765C2839E}">
      <dgm:prSet phldrT="[Text]" custT="1"/>
      <dgm:spPr/>
      <dgm:t>
        <a:bodyPr/>
        <a:lstStyle/>
        <a:p>
          <a:r>
            <a:rPr lang="en-US" sz="800" b="1"/>
            <a:t>Timer</a:t>
          </a:r>
          <a:br>
            <a:rPr lang="en-US" sz="800"/>
          </a:br>
          <a:r>
            <a:rPr lang="en-US" sz="700"/>
            <a:t>how long is each round</a:t>
          </a:r>
          <a:endParaRPr lang="en-US" sz="800"/>
        </a:p>
      </dgm:t>
    </dgm:pt>
    <dgm:pt modelId="{B0275BDE-F460-434C-98D1-722E35768086}" type="parTrans" cxnId="{936DFFE1-79AD-4146-89E1-8E984F48E0EE}">
      <dgm:prSet/>
      <dgm:spPr/>
      <dgm:t>
        <a:bodyPr/>
        <a:lstStyle/>
        <a:p>
          <a:endParaRPr lang="en-US"/>
        </a:p>
      </dgm:t>
    </dgm:pt>
    <dgm:pt modelId="{15DFAD44-11D0-40C2-AEB9-8681A95D6DC7}" type="sibTrans" cxnId="{936DFFE1-79AD-4146-89E1-8E984F48E0EE}">
      <dgm:prSet/>
      <dgm:spPr/>
      <dgm:t>
        <a:bodyPr/>
        <a:lstStyle/>
        <a:p>
          <a:endParaRPr lang="en-US"/>
        </a:p>
      </dgm:t>
    </dgm:pt>
    <dgm:pt modelId="{903E8CCA-8E62-4650-8B1C-F02E492E7445}">
      <dgm:prSet phldrT="[Text]" custT="1"/>
      <dgm:spPr/>
      <dgm:t>
        <a:bodyPr/>
        <a:lstStyle/>
        <a:p>
          <a:r>
            <a:rPr lang="en-US" sz="700"/>
            <a:t>25%</a:t>
          </a:r>
        </a:p>
      </dgm:t>
    </dgm:pt>
    <dgm:pt modelId="{7CDA0981-FA2F-43B5-BE8C-EA5648283D5E}" type="parTrans" cxnId="{F8FD523C-6D99-4CA2-A51E-19174A957486}">
      <dgm:prSet/>
      <dgm:spPr/>
      <dgm:t>
        <a:bodyPr/>
        <a:lstStyle/>
        <a:p>
          <a:endParaRPr lang="en-US"/>
        </a:p>
      </dgm:t>
    </dgm:pt>
    <dgm:pt modelId="{03F249EB-0691-47D3-A860-9734DA8463E3}" type="sibTrans" cxnId="{F8FD523C-6D99-4CA2-A51E-19174A957486}">
      <dgm:prSet/>
      <dgm:spPr/>
      <dgm:t>
        <a:bodyPr/>
        <a:lstStyle/>
        <a:p>
          <a:endParaRPr lang="en-US"/>
        </a:p>
      </dgm:t>
    </dgm:pt>
    <dgm:pt modelId="{236ED2A6-C6DE-4AAB-9AE5-9BFC333F8501}">
      <dgm:prSet phldrT="[Text]" custT="1"/>
      <dgm:spPr/>
      <dgm:t>
        <a:bodyPr/>
        <a:lstStyle/>
        <a:p>
          <a:r>
            <a:rPr lang="en-US" sz="1050" b="1"/>
            <a:t>Combo</a:t>
          </a:r>
        </a:p>
      </dgm:t>
    </dgm:pt>
    <dgm:pt modelId="{716CD9F3-D7E2-4224-AD0C-8BA189C0430F}" type="parTrans" cxnId="{78514D62-3018-4C54-BA85-953D47B75321}">
      <dgm:prSet/>
      <dgm:spPr/>
      <dgm:t>
        <a:bodyPr/>
        <a:lstStyle/>
        <a:p>
          <a:endParaRPr lang="en-US"/>
        </a:p>
      </dgm:t>
    </dgm:pt>
    <dgm:pt modelId="{C13C23CD-640E-4801-8D32-2E7A027AD9EC}" type="sibTrans" cxnId="{78514D62-3018-4C54-BA85-953D47B75321}">
      <dgm:prSet/>
      <dgm:spPr/>
      <dgm:t>
        <a:bodyPr/>
        <a:lstStyle/>
        <a:p>
          <a:endParaRPr lang="en-US"/>
        </a:p>
      </dgm:t>
    </dgm:pt>
    <dgm:pt modelId="{A8257C75-6083-40D6-A8A9-C040DD6E1A8B}">
      <dgm:prSet phldrT="[Text]" custT="1"/>
      <dgm:spPr/>
      <dgm:t>
        <a:bodyPr/>
        <a:lstStyle/>
        <a:p>
          <a:r>
            <a:rPr lang="en-US" sz="800" b="1"/>
            <a:t>Rounds</a:t>
          </a:r>
        </a:p>
      </dgm:t>
    </dgm:pt>
    <dgm:pt modelId="{46753A2A-0662-4E11-A1A1-9A6D076072D3}" type="parTrans" cxnId="{1A561DB1-FFA3-4217-837D-1D42508519DA}">
      <dgm:prSet/>
      <dgm:spPr/>
      <dgm:t>
        <a:bodyPr/>
        <a:lstStyle/>
        <a:p>
          <a:endParaRPr lang="en-US"/>
        </a:p>
      </dgm:t>
    </dgm:pt>
    <dgm:pt modelId="{3FB0137C-5107-4267-9C3A-3C32C3B3CD22}" type="sibTrans" cxnId="{1A561DB1-FFA3-4217-837D-1D42508519DA}">
      <dgm:prSet/>
      <dgm:spPr/>
      <dgm:t>
        <a:bodyPr/>
        <a:lstStyle/>
        <a:p>
          <a:endParaRPr lang="en-US"/>
        </a:p>
      </dgm:t>
    </dgm:pt>
    <dgm:pt modelId="{24AA6174-1931-4669-A8E8-47C7AD017C73}">
      <dgm:prSet phldrT="[Text]" custT="1"/>
      <dgm:spPr/>
      <dgm:t>
        <a:bodyPr/>
        <a:lstStyle/>
        <a:p>
          <a:r>
            <a:rPr lang="en-US" sz="800" b="1"/>
            <a:t>Speed</a:t>
          </a:r>
          <a:br>
            <a:rPr lang="en-US" sz="800"/>
          </a:br>
          <a:r>
            <a:rPr lang="en-US" sz="700"/>
            <a:t>arm actuation speed</a:t>
          </a:r>
        </a:p>
      </dgm:t>
    </dgm:pt>
    <dgm:pt modelId="{3B1EE30C-47F7-4F4E-982F-3EA8EAF5B154}" type="parTrans" cxnId="{CB23C072-13B9-4631-B0E3-9237E7B2305B}">
      <dgm:prSet/>
      <dgm:spPr/>
      <dgm:t>
        <a:bodyPr/>
        <a:lstStyle/>
        <a:p>
          <a:endParaRPr lang="en-US"/>
        </a:p>
      </dgm:t>
    </dgm:pt>
    <dgm:pt modelId="{6EB1EB84-A2C0-4E02-B9E9-4592A1FC031A}" type="sibTrans" cxnId="{CB23C072-13B9-4631-B0E3-9237E7B2305B}">
      <dgm:prSet/>
      <dgm:spPr/>
      <dgm:t>
        <a:bodyPr/>
        <a:lstStyle/>
        <a:p>
          <a:endParaRPr lang="en-US"/>
        </a:p>
      </dgm:t>
    </dgm:pt>
    <dgm:pt modelId="{32594B73-6901-4C99-B9B8-E4F4905C3321}">
      <dgm:prSet phldrT="[Text]" custT="1"/>
      <dgm:spPr/>
      <dgm:t>
        <a:bodyPr/>
        <a:lstStyle/>
        <a:p>
          <a:r>
            <a:rPr lang="en-US" sz="700"/>
            <a:t>1 to 12 (slider)</a:t>
          </a:r>
        </a:p>
      </dgm:t>
    </dgm:pt>
    <dgm:pt modelId="{3EC0ACF3-9387-4BC0-8395-CFBDF6108E0A}" type="parTrans" cxnId="{D226628D-429B-4C04-AF6C-5CA9B95E3006}">
      <dgm:prSet/>
      <dgm:spPr/>
      <dgm:t>
        <a:bodyPr/>
        <a:lstStyle/>
        <a:p>
          <a:endParaRPr lang="en-US"/>
        </a:p>
      </dgm:t>
    </dgm:pt>
    <dgm:pt modelId="{83D65528-8CC4-4341-BA9D-21B54E747601}" type="sibTrans" cxnId="{D226628D-429B-4C04-AF6C-5CA9B95E3006}">
      <dgm:prSet/>
      <dgm:spPr/>
      <dgm:t>
        <a:bodyPr/>
        <a:lstStyle/>
        <a:p>
          <a:endParaRPr lang="en-US"/>
        </a:p>
      </dgm:t>
    </dgm:pt>
    <dgm:pt modelId="{806C3E0D-CAF5-4BDA-AED4-2FE6C112027C}">
      <dgm:prSet phldrT="[Text]" custT="1"/>
      <dgm:spPr/>
      <dgm:t>
        <a:bodyPr/>
        <a:lstStyle/>
        <a:p>
          <a:r>
            <a:rPr lang="en-US" sz="700"/>
            <a:t>50%</a:t>
          </a:r>
        </a:p>
      </dgm:t>
    </dgm:pt>
    <dgm:pt modelId="{D355EEF8-428D-41BF-A161-F837C130A699}" type="parTrans" cxnId="{B3825F7D-BDDC-484C-A08B-7B335E2FCAD4}">
      <dgm:prSet/>
      <dgm:spPr/>
      <dgm:t>
        <a:bodyPr/>
        <a:lstStyle/>
        <a:p>
          <a:endParaRPr lang="en-US"/>
        </a:p>
      </dgm:t>
    </dgm:pt>
    <dgm:pt modelId="{100CACD0-657E-4E23-9730-7DC62B4267B1}" type="sibTrans" cxnId="{B3825F7D-BDDC-484C-A08B-7B335E2FCAD4}">
      <dgm:prSet/>
      <dgm:spPr/>
      <dgm:t>
        <a:bodyPr/>
        <a:lstStyle/>
        <a:p>
          <a:endParaRPr lang="en-US"/>
        </a:p>
      </dgm:t>
    </dgm:pt>
    <dgm:pt modelId="{8CEBBDC0-7D50-4752-9EF3-4DB4BE315394}">
      <dgm:prSet phldrT="[Text]" custT="1"/>
      <dgm:spPr/>
      <dgm:t>
        <a:bodyPr/>
        <a:lstStyle/>
        <a:p>
          <a:r>
            <a:rPr lang="en-US" sz="700"/>
            <a:t>75%</a:t>
          </a:r>
        </a:p>
      </dgm:t>
    </dgm:pt>
    <dgm:pt modelId="{CD38772C-9D81-44C2-99B9-A1492C9FD469}" type="parTrans" cxnId="{0756DAC8-4508-42AC-B0B2-CA3F19144354}">
      <dgm:prSet/>
      <dgm:spPr/>
      <dgm:t>
        <a:bodyPr/>
        <a:lstStyle/>
        <a:p>
          <a:endParaRPr lang="en-US"/>
        </a:p>
      </dgm:t>
    </dgm:pt>
    <dgm:pt modelId="{2474DB33-713C-4534-8643-3D59E0DE4540}" type="sibTrans" cxnId="{0756DAC8-4508-42AC-B0B2-CA3F19144354}">
      <dgm:prSet/>
      <dgm:spPr/>
      <dgm:t>
        <a:bodyPr/>
        <a:lstStyle/>
        <a:p>
          <a:endParaRPr lang="en-US"/>
        </a:p>
      </dgm:t>
    </dgm:pt>
    <dgm:pt modelId="{2B1D055E-0FA2-4154-9604-85ADAF1D1B7A}">
      <dgm:prSet phldrT="[Text]" custT="1"/>
      <dgm:spPr/>
      <dgm:t>
        <a:bodyPr/>
        <a:lstStyle/>
        <a:p>
          <a:r>
            <a:rPr lang="en-US" sz="700"/>
            <a:t>100%</a:t>
          </a:r>
        </a:p>
      </dgm:t>
    </dgm:pt>
    <dgm:pt modelId="{6C766D1B-48DD-4083-A1E1-2B25F79CBCA9}" type="parTrans" cxnId="{EF847171-CFF0-44E3-B27A-180550028E61}">
      <dgm:prSet/>
      <dgm:spPr/>
      <dgm:t>
        <a:bodyPr/>
        <a:lstStyle/>
        <a:p>
          <a:endParaRPr lang="en-US"/>
        </a:p>
      </dgm:t>
    </dgm:pt>
    <dgm:pt modelId="{3432B6BE-A776-445E-A605-FA219944F9F5}" type="sibTrans" cxnId="{EF847171-CFF0-44E3-B27A-180550028E61}">
      <dgm:prSet/>
      <dgm:spPr/>
      <dgm:t>
        <a:bodyPr/>
        <a:lstStyle/>
        <a:p>
          <a:endParaRPr lang="en-US"/>
        </a:p>
      </dgm:t>
    </dgm:pt>
    <dgm:pt modelId="{E0D7158E-67D7-4A67-9227-02721D2DA146}">
      <dgm:prSet phldrT="[Text]" custT="1"/>
      <dgm:spPr/>
      <dgm:t>
        <a:bodyPr/>
        <a:lstStyle/>
        <a:p>
          <a:r>
            <a:rPr lang="en-US" sz="700"/>
            <a:t>1:30</a:t>
          </a:r>
        </a:p>
      </dgm:t>
    </dgm:pt>
    <dgm:pt modelId="{A40D56A2-06F8-4243-B41B-A2C39191EB4D}" type="parTrans" cxnId="{FDEDA682-5F6B-431D-A021-7EAD8F0FDE9B}">
      <dgm:prSet/>
      <dgm:spPr/>
      <dgm:t>
        <a:bodyPr/>
        <a:lstStyle/>
        <a:p>
          <a:endParaRPr lang="en-US"/>
        </a:p>
      </dgm:t>
    </dgm:pt>
    <dgm:pt modelId="{FFDEA3B8-80F6-4B3B-B51C-73232B758B5C}" type="sibTrans" cxnId="{FDEDA682-5F6B-431D-A021-7EAD8F0FDE9B}">
      <dgm:prSet/>
      <dgm:spPr/>
      <dgm:t>
        <a:bodyPr/>
        <a:lstStyle/>
        <a:p>
          <a:endParaRPr lang="en-US"/>
        </a:p>
      </dgm:t>
    </dgm:pt>
    <dgm:pt modelId="{F313103F-91E5-4C39-BB16-3D113D62BF02}">
      <dgm:prSet phldrT="[Text]" custT="1"/>
      <dgm:spPr/>
      <dgm:t>
        <a:bodyPr/>
        <a:lstStyle/>
        <a:p>
          <a:r>
            <a:rPr lang="en-US" sz="700"/>
            <a:t>2:00</a:t>
          </a:r>
        </a:p>
      </dgm:t>
    </dgm:pt>
    <dgm:pt modelId="{71EEAFB1-2DC3-49FE-8EAD-20F06355E326}" type="parTrans" cxnId="{13D9CC3A-BDFE-412D-A5E5-C8EA3DCFEA8C}">
      <dgm:prSet/>
      <dgm:spPr/>
      <dgm:t>
        <a:bodyPr/>
        <a:lstStyle/>
        <a:p>
          <a:endParaRPr lang="en-US"/>
        </a:p>
      </dgm:t>
    </dgm:pt>
    <dgm:pt modelId="{22ADDBC1-D01B-4B4D-B69F-6F2A114362F2}" type="sibTrans" cxnId="{13D9CC3A-BDFE-412D-A5E5-C8EA3DCFEA8C}">
      <dgm:prSet/>
      <dgm:spPr/>
      <dgm:t>
        <a:bodyPr/>
        <a:lstStyle/>
        <a:p>
          <a:endParaRPr lang="en-US"/>
        </a:p>
      </dgm:t>
    </dgm:pt>
    <dgm:pt modelId="{09A99F66-F4A3-4BFC-A2C1-BC485CD0F0B5}">
      <dgm:prSet phldrT="[Text]" custT="1"/>
      <dgm:spPr/>
      <dgm:t>
        <a:bodyPr/>
        <a:lstStyle/>
        <a:p>
          <a:r>
            <a:rPr lang="en-US" sz="700"/>
            <a:t>3:00</a:t>
          </a:r>
        </a:p>
      </dgm:t>
    </dgm:pt>
    <dgm:pt modelId="{0A3364BE-FC07-4F21-96BC-145D80AF3623}" type="parTrans" cxnId="{E65BF717-F670-4F84-B6BD-182282245C5D}">
      <dgm:prSet/>
      <dgm:spPr/>
      <dgm:t>
        <a:bodyPr/>
        <a:lstStyle/>
        <a:p>
          <a:endParaRPr lang="en-US"/>
        </a:p>
      </dgm:t>
    </dgm:pt>
    <dgm:pt modelId="{0C663950-07F6-41D8-86BB-8EF15213E2A6}" type="sibTrans" cxnId="{E65BF717-F670-4F84-B6BD-182282245C5D}">
      <dgm:prSet/>
      <dgm:spPr/>
      <dgm:t>
        <a:bodyPr/>
        <a:lstStyle/>
        <a:p>
          <a:endParaRPr lang="en-US"/>
        </a:p>
      </dgm:t>
    </dgm:pt>
    <dgm:pt modelId="{EF7BE47F-C1D0-4C58-BAA1-A8766EC87F04}">
      <dgm:prSet phldrT="[Text]" custT="1"/>
      <dgm:spPr/>
      <dgm:t>
        <a:bodyPr/>
        <a:lstStyle/>
        <a:p>
          <a:r>
            <a:rPr lang="en-US" sz="700"/>
            <a:t>1:00</a:t>
          </a:r>
        </a:p>
      </dgm:t>
    </dgm:pt>
    <dgm:pt modelId="{72892D38-CBF8-4A31-A806-F0690B5D1489}" type="parTrans" cxnId="{D7D5F2CC-E2D8-475F-9491-6B36DEFDD5FD}">
      <dgm:prSet/>
      <dgm:spPr/>
      <dgm:t>
        <a:bodyPr/>
        <a:lstStyle/>
        <a:p>
          <a:endParaRPr lang="en-US"/>
        </a:p>
      </dgm:t>
    </dgm:pt>
    <dgm:pt modelId="{88EE6E5C-9A94-418A-8597-163F726EF06E}" type="sibTrans" cxnId="{D7D5F2CC-E2D8-475F-9491-6B36DEFDD5FD}">
      <dgm:prSet/>
      <dgm:spPr/>
      <dgm:t>
        <a:bodyPr/>
        <a:lstStyle/>
        <a:p>
          <a:endParaRPr lang="en-US"/>
        </a:p>
      </dgm:t>
    </dgm:pt>
    <dgm:pt modelId="{23BBFA85-6104-4A97-8F78-E82E909B69BD}">
      <dgm:prSet phldrT="[Text]" custT="1"/>
      <dgm:spPr/>
      <dgm:t>
        <a:bodyPr/>
        <a:lstStyle/>
        <a:p>
          <a:r>
            <a:rPr lang="en-US" sz="700"/>
            <a:t>2: One second intervals between each round</a:t>
          </a:r>
        </a:p>
      </dgm:t>
    </dgm:pt>
    <dgm:pt modelId="{39CD6766-2B5E-4D8E-ABA1-B3B25EE689E3}" type="parTrans" cxnId="{A8E6450F-27B9-443F-A99B-EC4E4E8FCC10}">
      <dgm:prSet/>
      <dgm:spPr/>
      <dgm:t>
        <a:bodyPr/>
        <a:lstStyle/>
        <a:p>
          <a:endParaRPr lang="en-US"/>
        </a:p>
      </dgm:t>
    </dgm:pt>
    <dgm:pt modelId="{FA81D10B-5BF6-4D33-B969-AEF08A3BF2CA}" type="sibTrans" cxnId="{A8E6450F-27B9-443F-A99B-EC4E4E8FCC10}">
      <dgm:prSet/>
      <dgm:spPr/>
      <dgm:t>
        <a:bodyPr/>
        <a:lstStyle/>
        <a:p>
          <a:endParaRPr lang="en-US"/>
        </a:p>
      </dgm:t>
    </dgm:pt>
    <dgm:pt modelId="{52969E13-1B00-402C-83B7-07297354394B}">
      <dgm:prSet phldrT="[Text]" custT="1"/>
      <dgm:spPr/>
      <dgm:t>
        <a:bodyPr/>
        <a:lstStyle/>
        <a:p>
          <a:r>
            <a:rPr lang="en-US" sz="700"/>
            <a:t>3: Random second intervals between each round</a:t>
          </a:r>
        </a:p>
      </dgm:t>
    </dgm:pt>
    <dgm:pt modelId="{79782BCC-A4F1-47D9-B04C-8C2309AEE177}" type="parTrans" cxnId="{0496C5E1-9340-4B43-BC7F-06808254FE3C}">
      <dgm:prSet/>
      <dgm:spPr/>
      <dgm:t>
        <a:bodyPr/>
        <a:lstStyle/>
        <a:p>
          <a:endParaRPr lang="en-US"/>
        </a:p>
      </dgm:t>
    </dgm:pt>
    <dgm:pt modelId="{449E54EE-4E68-4E9B-9095-BF496E9EE6EE}" type="sibTrans" cxnId="{0496C5E1-9340-4B43-BC7F-06808254FE3C}">
      <dgm:prSet/>
      <dgm:spPr/>
      <dgm:t>
        <a:bodyPr/>
        <a:lstStyle/>
        <a:p>
          <a:endParaRPr lang="en-US"/>
        </a:p>
      </dgm:t>
    </dgm:pt>
    <dgm:pt modelId="{E5CCB424-925B-41F0-BAAA-30BC87F41F1D}">
      <dgm:prSet phldrT="[Text]" custT="1"/>
      <dgm:spPr/>
      <dgm:t>
        <a:bodyPr/>
        <a:lstStyle/>
        <a:p>
          <a:r>
            <a:rPr lang="en-US" sz="700"/>
            <a:t>0:30</a:t>
          </a:r>
        </a:p>
      </dgm:t>
    </dgm:pt>
    <dgm:pt modelId="{79E96F2F-2306-4B5C-AC22-3C69A21D5CA2}" type="parTrans" cxnId="{028D958E-83AE-4167-B7EC-B7F911249055}">
      <dgm:prSet/>
      <dgm:spPr/>
      <dgm:t>
        <a:bodyPr/>
        <a:lstStyle/>
        <a:p>
          <a:endParaRPr lang="en-US"/>
        </a:p>
      </dgm:t>
    </dgm:pt>
    <dgm:pt modelId="{B03BFC60-D4AF-4C53-A8B2-304214861CB3}" type="sibTrans" cxnId="{028D958E-83AE-4167-B7EC-B7F911249055}">
      <dgm:prSet/>
      <dgm:spPr/>
      <dgm:t>
        <a:bodyPr/>
        <a:lstStyle/>
        <a:p>
          <a:endParaRPr lang="en-US"/>
        </a:p>
      </dgm:t>
    </dgm:pt>
    <dgm:pt modelId="{4DCB9722-41EB-480C-BF1A-FBE7008926B7}">
      <dgm:prSet phldrT="[Text]" custT="1"/>
      <dgm:spPr/>
      <dgm:t>
        <a:bodyPr/>
        <a:lstStyle/>
        <a:p>
          <a:r>
            <a:rPr lang="en-US" sz="700"/>
            <a:t>0:45</a:t>
          </a:r>
        </a:p>
      </dgm:t>
    </dgm:pt>
    <dgm:pt modelId="{61238695-2CC9-43A0-A847-24FAA827AEDF}" type="parTrans" cxnId="{7C47E98B-0187-4291-9668-563BA076C8BC}">
      <dgm:prSet/>
      <dgm:spPr/>
      <dgm:t>
        <a:bodyPr/>
        <a:lstStyle/>
        <a:p>
          <a:endParaRPr lang="en-US"/>
        </a:p>
      </dgm:t>
    </dgm:pt>
    <dgm:pt modelId="{2DE0E9E5-F257-4058-B62F-B36B7500A3D4}" type="sibTrans" cxnId="{7C47E98B-0187-4291-9668-563BA076C8BC}">
      <dgm:prSet/>
      <dgm:spPr/>
      <dgm:t>
        <a:bodyPr/>
        <a:lstStyle/>
        <a:p>
          <a:endParaRPr lang="en-US"/>
        </a:p>
      </dgm:t>
    </dgm:pt>
    <dgm:pt modelId="{81BCE850-1B31-4811-BCD8-D8B28E4EBFDE}">
      <dgm:prSet phldrT="[Text]" custT="1"/>
      <dgm:spPr/>
      <dgm:t>
        <a:bodyPr/>
        <a:lstStyle/>
        <a:p>
          <a:r>
            <a:rPr lang="en-US" sz="700"/>
            <a:t>1:00</a:t>
          </a:r>
        </a:p>
      </dgm:t>
    </dgm:pt>
    <dgm:pt modelId="{B90C8B5F-5EEF-407A-ADC1-15F9BD5EF8F4}" type="parTrans" cxnId="{72B9777F-E6CB-45E8-A488-AAD59181CC20}">
      <dgm:prSet/>
      <dgm:spPr/>
      <dgm:t>
        <a:bodyPr/>
        <a:lstStyle/>
        <a:p>
          <a:endParaRPr lang="en-US"/>
        </a:p>
      </dgm:t>
    </dgm:pt>
    <dgm:pt modelId="{3810C1FC-C89E-464C-AB90-E035D4EFF1B9}" type="sibTrans" cxnId="{72B9777F-E6CB-45E8-A488-AAD59181CC20}">
      <dgm:prSet/>
      <dgm:spPr/>
      <dgm:t>
        <a:bodyPr/>
        <a:lstStyle/>
        <a:p>
          <a:endParaRPr lang="en-US"/>
        </a:p>
      </dgm:t>
    </dgm:pt>
    <dgm:pt modelId="{45F3BCC3-4660-4C41-8275-98F46E4B624F}">
      <dgm:prSet phldrT="[Text]" custT="1"/>
      <dgm:spPr/>
      <dgm:t>
        <a:bodyPr/>
        <a:lstStyle/>
        <a:p>
          <a:r>
            <a:rPr lang="en-US" sz="800" b="1"/>
            <a:t>Punches</a:t>
          </a:r>
        </a:p>
      </dgm:t>
    </dgm:pt>
    <dgm:pt modelId="{2029CCCE-1F4C-428A-8932-6F8EE10A5DAA}" type="parTrans" cxnId="{773DD209-6557-429C-8728-C9ECC45C42AA}">
      <dgm:prSet/>
      <dgm:spPr/>
      <dgm:t>
        <a:bodyPr/>
        <a:lstStyle/>
        <a:p>
          <a:endParaRPr lang="en-US"/>
        </a:p>
      </dgm:t>
    </dgm:pt>
    <dgm:pt modelId="{1ACC263B-2BFF-4AB4-ACFA-7CE317B80EE7}" type="sibTrans" cxnId="{773DD209-6557-429C-8728-C9ECC45C42AA}">
      <dgm:prSet/>
      <dgm:spPr/>
      <dgm:t>
        <a:bodyPr/>
        <a:lstStyle/>
        <a:p>
          <a:endParaRPr lang="en-US"/>
        </a:p>
      </dgm:t>
    </dgm:pt>
    <dgm:pt modelId="{9F81D7FE-7C8E-4DDD-9021-BDBE901382BB}">
      <dgm:prSet phldrT="[Text]" custT="1"/>
      <dgm:spPr/>
      <dgm:t>
        <a:bodyPr/>
        <a:lstStyle/>
        <a:p>
          <a:r>
            <a:rPr lang="en-US" sz="700"/>
            <a:t>No. of Combos -- 2 to 8</a:t>
          </a:r>
        </a:p>
      </dgm:t>
    </dgm:pt>
    <dgm:pt modelId="{BBD41DFB-C695-4CBB-A127-65AB4FBB61C4}" type="parTrans" cxnId="{A6655BFD-FDAD-43C8-9AEE-210924299A1B}">
      <dgm:prSet/>
      <dgm:spPr/>
      <dgm:t>
        <a:bodyPr/>
        <a:lstStyle/>
        <a:p>
          <a:endParaRPr lang="en-US"/>
        </a:p>
      </dgm:t>
    </dgm:pt>
    <dgm:pt modelId="{D685001B-234B-4FEB-B860-7D0020353BC9}" type="sibTrans" cxnId="{A6655BFD-FDAD-43C8-9AEE-210924299A1B}">
      <dgm:prSet/>
      <dgm:spPr/>
      <dgm:t>
        <a:bodyPr/>
        <a:lstStyle/>
        <a:p>
          <a:endParaRPr lang="en-US"/>
        </a:p>
      </dgm:t>
    </dgm:pt>
    <dgm:pt modelId="{706454AC-2A79-4DD9-935E-6410B0729348}">
      <dgm:prSet phldrT="[Text]" custT="1"/>
      <dgm:spPr/>
      <dgm:t>
        <a:bodyPr/>
        <a:lstStyle/>
        <a:p>
          <a:r>
            <a:rPr lang="en-US" sz="700"/>
            <a:t>Sequence of Combos -- Free to click order</a:t>
          </a:r>
        </a:p>
      </dgm:t>
    </dgm:pt>
    <dgm:pt modelId="{754A7BCF-9614-4E32-B892-6847425307B5}" type="parTrans" cxnId="{AC5518BC-FDF6-4582-A793-21B8D0E4E285}">
      <dgm:prSet/>
      <dgm:spPr/>
      <dgm:t>
        <a:bodyPr/>
        <a:lstStyle/>
        <a:p>
          <a:endParaRPr lang="en-US"/>
        </a:p>
      </dgm:t>
    </dgm:pt>
    <dgm:pt modelId="{2E1409A9-EFD3-419E-8403-19589696A9E5}" type="sibTrans" cxnId="{AC5518BC-FDF6-4582-A793-21B8D0E4E285}">
      <dgm:prSet/>
      <dgm:spPr/>
      <dgm:t>
        <a:bodyPr/>
        <a:lstStyle/>
        <a:p>
          <a:endParaRPr lang="en-US"/>
        </a:p>
      </dgm:t>
    </dgm:pt>
    <dgm:pt modelId="{E7891865-AC87-479E-9820-662B8AC51F36}">
      <dgm:prSet phldrT="[Text]" custT="1"/>
      <dgm:spPr/>
      <dgm:t>
        <a:bodyPr/>
        <a:lstStyle/>
        <a:p>
          <a:r>
            <a:rPr lang="en-US" sz="700"/>
            <a:t>Punch Type -- based on numbering (boxing fundamentals)</a:t>
          </a:r>
        </a:p>
      </dgm:t>
    </dgm:pt>
    <dgm:pt modelId="{AA17B3AE-4E59-4921-8099-86B94E7ED698}" type="parTrans" cxnId="{E29616C9-3484-41A3-83DB-4351AE1D9AD1}">
      <dgm:prSet/>
      <dgm:spPr/>
      <dgm:t>
        <a:bodyPr/>
        <a:lstStyle/>
        <a:p>
          <a:endParaRPr lang="en-US"/>
        </a:p>
      </dgm:t>
    </dgm:pt>
    <dgm:pt modelId="{FF7AB592-B249-4D6F-A470-2363371B1239}" type="sibTrans" cxnId="{E29616C9-3484-41A3-83DB-4351AE1D9AD1}">
      <dgm:prSet/>
      <dgm:spPr/>
      <dgm:t>
        <a:bodyPr/>
        <a:lstStyle/>
        <a:p>
          <a:endParaRPr lang="en-US"/>
        </a:p>
      </dgm:t>
    </dgm:pt>
    <dgm:pt modelId="{D6024656-CFC1-494F-9B3C-6D48C50548CC}">
      <dgm:prSet phldrT="[Text]"/>
      <dgm:spPr/>
      <dgm:t>
        <a:bodyPr/>
        <a:lstStyle/>
        <a:p>
          <a:r>
            <a:rPr lang="en-US"/>
            <a:t>Wheels: Left/Right Pivot = Rotation; No Movement</a:t>
          </a:r>
        </a:p>
      </dgm:t>
    </dgm:pt>
    <dgm:pt modelId="{53561E31-B59C-4469-8218-430DD5312286}" type="parTrans" cxnId="{6FBB6ADF-4B42-44B8-9497-139488DFB0A3}">
      <dgm:prSet/>
      <dgm:spPr/>
      <dgm:t>
        <a:bodyPr/>
        <a:lstStyle/>
        <a:p>
          <a:endParaRPr lang="en-US"/>
        </a:p>
      </dgm:t>
    </dgm:pt>
    <dgm:pt modelId="{CC2571B6-2E98-42FE-A6F3-47DFBDDFA3E8}" type="sibTrans" cxnId="{6FBB6ADF-4B42-44B8-9497-139488DFB0A3}">
      <dgm:prSet/>
      <dgm:spPr/>
      <dgm:t>
        <a:bodyPr/>
        <a:lstStyle/>
        <a:p>
          <a:endParaRPr lang="en-US"/>
        </a:p>
      </dgm:t>
    </dgm:pt>
    <dgm:pt modelId="{03EE56DE-A6AC-4602-B5A1-9C785AAFC420}">
      <dgm:prSet phldrT="[Text]"/>
      <dgm:spPr/>
      <dgm:t>
        <a:bodyPr/>
        <a:lstStyle/>
        <a:p>
          <a:r>
            <a:rPr lang="en-US"/>
            <a:t>Constant rotation speed throughout</a:t>
          </a:r>
        </a:p>
      </dgm:t>
    </dgm:pt>
    <dgm:pt modelId="{32C19ABB-90C1-4299-854B-C76519CE5084}" type="parTrans" cxnId="{4DB01572-6795-4988-A915-A46650B5B3DA}">
      <dgm:prSet/>
      <dgm:spPr/>
      <dgm:t>
        <a:bodyPr/>
        <a:lstStyle/>
        <a:p>
          <a:endParaRPr lang="en-US"/>
        </a:p>
      </dgm:t>
    </dgm:pt>
    <dgm:pt modelId="{42EF0C8C-F025-464E-AA47-44B6F1583068}" type="sibTrans" cxnId="{4DB01572-6795-4988-A915-A46650B5B3DA}">
      <dgm:prSet/>
      <dgm:spPr/>
      <dgm:t>
        <a:bodyPr/>
        <a:lstStyle/>
        <a:p>
          <a:endParaRPr lang="en-US"/>
        </a:p>
      </dgm:t>
    </dgm:pt>
    <dgm:pt modelId="{7D79F1F5-6206-4622-9E79-07090EC0B950}">
      <dgm:prSet phldrT="[Text]"/>
      <dgm:spPr/>
      <dgm:t>
        <a:bodyPr/>
        <a:lstStyle/>
        <a:p>
          <a:r>
            <a:rPr lang="en-US"/>
            <a:t>No syncing between arms &amp; wheels</a:t>
          </a:r>
        </a:p>
      </dgm:t>
    </dgm:pt>
    <dgm:pt modelId="{B378D1A1-E791-492E-8E25-D6A736CFBC8C}" type="parTrans" cxnId="{2921BF79-0D11-47E2-98BD-94E3C7F03D85}">
      <dgm:prSet/>
      <dgm:spPr/>
      <dgm:t>
        <a:bodyPr/>
        <a:lstStyle/>
        <a:p>
          <a:endParaRPr lang="en-US"/>
        </a:p>
      </dgm:t>
    </dgm:pt>
    <dgm:pt modelId="{589F4D66-67B3-4FE0-AEA2-1CE0F9411E8F}" type="sibTrans" cxnId="{2921BF79-0D11-47E2-98BD-94E3C7F03D85}">
      <dgm:prSet/>
      <dgm:spPr/>
      <dgm:t>
        <a:bodyPr/>
        <a:lstStyle/>
        <a:p>
          <a:endParaRPr lang="en-US"/>
        </a:p>
      </dgm:t>
    </dgm:pt>
    <dgm:pt modelId="{2CAC73D1-2D15-4F03-9149-015C547DA445}" type="pres">
      <dgm:prSet presAssocID="{E170DEDF-F637-4E76-8653-4164A5E3CC76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5E59B9F8-1980-4DFF-93DD-225542007FFC}" type="pres">
      <dgm:prSet presAssocID="{236ED2A6-C6DE-4AAB-9AE5-9BFC333F8501}" presName="root1" presStyleCnt="0"/>
      <dgm:spPr/>
    </dgm:pt>
    <dgm:pt modelId="{464CEE50-69EF-45B1-855A-76050D10DE58}" type="pres">
      <dgm:prSet presAssocID="{236ED2A6-C6DE-4AAB-9AE5-9BFC333F8501}" presName="LevelOneTextNode" presStyleLbl="node0" presStyleIdx="0" presStyleCnt="1">
        <dgm:presLayoutVars>
          <dgm:chPref val="3"/>
        </dgm:presLayoutVars>
      </dgm:prSet>
      <dgm:spPr/>
    </dgm:pt>
    <dgm:pt modelId="{1B64D1BA-C05A-4499-BE69-CF73F548E2F9}" type="pres">
      <dgm:prSet presAssocID="{236ED2A6-C6DE-4AAB-9AE5-9BFC333F8501}" presName="level2hierChild" presStyleCnt="0"/>
      <dgm:spPr/>
    </dgm:pt>
    <dgm:pt modelId="{AAD0B584-E43D-4B20-9050-9D0850085C4F}" type="pres">
      <dgm:prSet presAssocID="{46753A2A-0662-4E11-A1A1-9A6D076072D3}" presName="conn2-1" presStyleLbl="parChTrans1D2" presStyleIdx="0" presStyleCnt="6"/>
      <dgm:spPr/>
    </dgm:pt>
    <dgm:pt modelId="{D2FE820F-46D7-4482-9F24-57E3F5425A0E}" type="pres">
      <dgm:prSet presAssocID="{46753A2A-0662-4E11-A1A1-9A6D076072D3}" presName="connTx" presStyleLbl="parChTrans1D2" presStyleIdx="0" presStyleCnt="6"/>
      <dgm:spPr/>
    </dgm:pt>
    <dgm:pt modelId="{D91B176A-03C9-4546-9684-78412EC22CBC}" type="pres">
      <dgm:prSet presAssocID="{A8257C75-6083-40D6-A8A9-C040DD6E1A8B}" presName="root2" presStyleCnt="0"/>
      <dgm:spPr/>
    </dgm:pt>
    <dgm:pt modelId="{CF1010A8-174A-48A5-B042-AF91FB6863D1}" type="pres">
      <dgm:prSet presAssocID="{A8257C75-6083-40D6-A8A9-C040DD6E1A8B}" presName="LevelTwoTextNode" presStyleLbl="node2" presStyleIdx="0" presStyleCnt="6">
        <dgm:presLayoutVars>
          <dgm:chPref val="3"/>
        </dgm:presLayoutVars>
      </dgm:prSet>
      <dgm:spPr/>
    </dgm:pt>
    <dgm:pt modelId="{18C3CB07-049C-4154-AC4A-95BE7ADC578D}" type="pres">
      <dgm:prSet presAssocID="{A8257C75-6083-40D6-A8A9-C040DD6E1A8B}" presName="level3hierChild" presStyleCnt="0"/>
      <dgm:spPr/>
    </dgm:pt>
    <dgm:pt modelId="{5F3D26C0-B130-4EC4-9A76-DC7E9F3EC1A3}" type="pres">
      <dgm:prSet presAssocID="{3EC0ACF3-9387-4BC0-8395-CFBDF6108E0A}" presName="conn2-1" presStyleLbl="parChTrans1D3" presStyleIdx="0" presStyleCnt="19"/>
      <dgm:spPr/>
    </dgm:pt>
    <dgm:pt modelId="{DEB521C1-7AF7-4AE8-8D8F-BDBD4E46BD80}" type="pres">
      <dgm:prSet presAssocID="{3EC0ACF3-9387-4BC0-8395-CFBDF6108E0A}" presName="connTx" presStyleLbl="parChTrans1D3" presStyleIdx="0" presStyleCnt="19"/>
      <dgm:spPr/>
    </dgm:pt>
    <dgm:pt modelId="{063956C4-5D87-4965-A8D2-CFE1B0EE2463}" type="pres">
      <dgm:prSet presAssocID="{32594B73-6901-4C99-B9B8-E4F4905C3321}" presName="root2" presStyleCnt="0"/>
      <dgm:spPr/>
    </dgm:pt>
    <dgm:pt modelId="{31BB8760-49C1-40F6-B58D-4F5037F5026A}" type="pres">
      <dgm:prSet presAssocID="{32594B73-6901-4C99-B9B8-E4F4905C3321}" presName="LevelTwoTextNode" presStyleLbl="node3" presStyleIdx="0" presStyleCnt="19" custScaleX="334782" custScaleY="51808">
        <dgm:presLayoutVars>
          <dgm:chPref val="3"/>
        </dgm:presLayoutVars>
      </dgm:prSet>
      <dgm:spPr/>
    </dgm:pt>
    <dgm:pt modelId="{7A72CA1D-447D-4975-934A-C06729D33B5C}" type="pres">
      <dgm:prSet presAssocID="{32594B73-6901-4C99-B9B8-E4F4905C3321}" presName="level3hierChild" presStyleCnt="0"/>
      <dgm:spPr/>
    </dgm:pt>
    <dgm:pt modelId="{66FDE2CC-C1A8-415F-AF7C-634CA0851C0F}" type="pres">
      <dgm:prSet presAssocID="{3B1EE30C-47F7-4F4E-982F-3EA8EAF5B154}" presName="conn2-1" presStyleLbl="parChTrans1D2" presStyleIdx="1" presStyleCnt="6"/>
      <dgm:spPr/>
    </dgm:pt>
    <dgm:pt modelId="{9D81AA89-4AB9-4B34-A411-AD7C0334CAFC}" type="pres">
      <dgm:prSet presAssocID="{3B1EE30C-47F7-4F4E-982F-3EA8EAF5B154}" presName="connTx" presStyleLbl="parChTrans1D2" presStyleIdx="1" presStyleCnt="6"/>
      <dgm:spPr/>
    </dgm:pt>
    <dgm:pt modelId="{6D8BA564-6818-4B81-BA20-8138CD28B38F}" type="pres">
      <dgm:prSet presAssocID="{24AA6174-1931-4669-A8E8-47C7AD017C73}" presName="root2" presStyleCnt="0"/>
      <dgm:spPr/>
    </dgm:pt>
    <dgm:pt modelId="{D8C6C875-7AAB-4767-9FB9-EC0AB1611730}" type="pres">
      <dgm:prSet presAssocID="{24AA6174-1931-4669-A8E8-47C7AD017C73}" presName="LevelTwoTextNode" presStyleLbl="node2" presStyleIdx="1" presStyleCnt="6">
        <dgm:presLayoutVars>
          <dgm:chPref val="3"/>
        </dgm:presLayoutVars>
      </dgm:prSet>
      <dgm:spPr/>
    </dgm:pt>
    <dgm:pt modelId="{4710E56B-D9D4-45D0-8DA7-4CDD34FA9F09}" type="pres">
      <dgm:prSet presAssocID="{24AA6174-1931-4669-A8E8-47C7AD017C73}" presName="level3hierChild" presStyleCnt="0"/>
      <dgm:spPr/>
    </dgm:pt>
    <dgm:pt modelId="{EACF1505-376F-42E6-870E-D3C358EE8E75}" type="pres">
      <dgm:prSet presAssocID="{7CDA0981-FA2F-43B5-BE8C-EA5648283D5E}" presName="conn2-1" presStyleLbl="parChTrans1D3" presStyleIdx="1" presStyleCnt="19"/>
      <dgm:spPr/>
    </dgm:pt>
    <dgm:pt modelId="{C4B84B1C-5B2F-4246-AF5D-9862D2BA5D35}" type="pres">
      <dgm:prSet presAssocID="{7CDA0981-FA2F-43B5-BE8C-EA5648283D5E}" presName="connTx" presStyleLbl="parChTrans1D3" presStyleIdx="1" presStyleCnt="19"/>
      <dgm:spPr/>
    </dgm:pt>
    <dgm:pt modelId="{B82DC601-5491-410F-9B0B-2DAB07AC0CDF}" type="pres">
      <dgm:prSet presAssocID="{903E8CCA-8E62-4650-8B1C-F02E492E7445}" presName="root2" presStyleCnt="0"/>
      <dgm:spPr/>
    </dgm:pt>
    <dgm:pt modelId="{F21C9C69-83D9-4198-AA3A-4A792948ED35}" type="pres">
      <dgm:prSet presAssocID="{903E8CCA-8E62-4650-8B1C-F02E492E7445}" presName="LevelTwoTextNode" presStyleLbl="node3" presStyleIdx="1" presStyleCnt="19" custScaleX="334782" custScaleY="51808">
        <dgm:presLayoutVars>
          <dgm:chPref val="3"/>
        </dgm:presLayoutVars>
      </dgm:prSet>
      <dgm:spPr/>
    </dgm:pt>
    <dgm:pt modelId="{ECF571B8-31FC-47AB-BF6F-3D5F581287E8}" type="pres">
      <dgm:prSet presAssocID="{903E8CCA-8E62-4650-8B1C-F02E492E7445}" presName="level3hierChild" presStyleCnt="0"/>
      <dgm:spPr/>
    </dgm:pt>
    <dgm:pt modelId="{712C809E-B891-46E8-BE08-646A33AB34DF}" type="pres">
      <dgm:prSet presAssocID="{D355EEF8-428D-41BF-A161-F837C130A699}" presName="conn2-1" presStyleLbl="parChTrans1D3" presStyleIdx="2" presStyleCnt="19"/>
      <dgm:spPr/>
    </dgm:pt>
    <dgm:pt modelId="{0969CE22-F7CB-4177-8C67-5F6AF8FE1C85}" type="pres">
      <dgm:prSet presAssocID="{D355EEF8-428D-41BF-A161-F837C130A699}" presName="connTx" presStyleLbl="parChTrans1D3" presStyleIdx="2" presStyleCnt="19"/>
      <dgm:spPr/>
    </dgm:pt>
    <dgm:pt modelId="{E4242134-E309-405B-B1B5-27E270D97CBA}" type="pres">
      <dgm:prSet presAssocID="{806C3E0D-CAF5-4BDA-AED4-2FE6C112027C}" presName="root2" presStyleCnt="0"/>
      <dgm:spPr/>
    </dgm:pt>
    <dgm:pt modelId="{682B2893-B250-4801-9C36-6B4ABE9567BB}" type="pres">
      <dgm:prSet presAssocID="{806C3E0D-CAF5-4BDA-AED4-2FE6C112027C}" presName="LevelTwoTextNode" presStyleLbl="node3" presStyleIdx="2" presStyleCnt="19" custScaleX="334782" custScaleY="51808">
        <dgm:presLayoutVars>
          <dgm:chPref val="3"/>
        </dgm:presLayoutVars>
      </dgm:prSet>
      <dgm:spPr/>
    </dgm:pt>
    <dgm:pt modelId="{0DDC1D63-2918-4AD8-BDF0-A5FBD006488B}" type="pres">
      <dgm:prSet presAssocID="{806C3E0D-CAF5-4BDA-AED4-2FE6C112027C}" presName="level3hierChild" presStyleCnt="0"/>
      <dgm:spPr/>
    </dgm:pt>
    <dgm:pt modelId="{61092624-DFE9-4D0D-9453-3F731D7AE8EE}" type="pres">
      <dgm:prSet presAssocID="{CD38772C-9D81-44C2-99B9-A1492C9FD469}" presName="conn2-1" presStyleLbl="parChTrans1D3" presStyleIdx="3" presStyleCnt="19"/>
      <dgm:spPr/>
    </dgm:pt>
    <dgm:pt modelId="{A1DB1586-DD0A-4CC1-98C2-B9685AAF9726}" type="pres">
      <dgm:prSet presAssocID="{CD38772C-9D81-44C2-99B9-A1492C9FD469}" presName="connTx" presStyleLbl="parChTrans1D3" presStyleIdx="3" presStyleCnt="19"/>
      <dgm:spPr/>
    </dgm:pt>
    <dgm:pt modelId="{4A185440-5517-4D81-B208-7D68684AB1D1}" type="pres">
      <dgm:prSet presAssocID="{8CEBBDC0-7D50-4752-9EF3-4DB4BE315394}" presName="root2" presStyleCnt="0"/>
      <dgm:spPr/>
    </dgm:pt>
    <dgm:pt modelId="{31E2E338-3E72-4B42-A017-3574F553601B}" type="pres">
      <dgm:prSet presAssocID="{8CEBBDC0-7D50-4752-9EF3-4DB4BE315394}" presName="LevelTwoTextNode" presStyleLbl="node3" presStyleIdx="3" presStyleCnt="19" custScaleX="334782" custScaleY="51808">
        <dgm:presLayoutVars>
          <dgm:chPref val="3"/>
        </dgm:presLayoutVars>
      </dgm:prSet>
      <dgm:spPr/>
    </dgm:pt>
    <dgm:pt modelId="{2760BF6C-3460-4423-BB7B-C97DBAFC73BA}" type="pres">
      <dgm:prSet presAssocID="{8CEBBDC0-7D50-4752-9EF3-4DB4BE315394}" presName="level3hierChild" presStyleCnt="0"/>
      <dgm:spPr/>
    </dgm:pt>
    <dgm:pt modelId="{D598212C-42EB-4708-B451-AC9CA8D44D3E}" type="pres">
      <dgm:prSet presAssocID="{6C766D1B-48DD-4083-A1E1-2B25F79CBCA9}" presName="conn2-1" presStyleLbl="parChTrans1D3" presStyleIdx="4" presStyleCnt="19"/>
      <dgm:spPr/>
    </dgm:pt>
    <dgm:pt modelId="{3A8F84D3-B9BD-4B5E-A91A-1A075C69D4E6}" type="pres">
      <dgm:prSet presAssocID="{6C766D1B-48DD-4083-A1E1-2B25F79CBCA9}" presName="connTx" presStyleLbl="parChTrans1D3" presStyleIdx="4" presStyleCnt="19"/>
      <dgm:spPr/>
    </dgm:pt>
    <dgm:pt modelId="{49CBB78D-CB4C-46B5-9C2A-D9A41751B775}" type="pres">
      <dgm:prSet presAssocID="{2B1D055E-0FA2-4154-9604-85ADAF1D1B7A}" presName="root2" presStyleCnt="0"/>
      <dgm:spPr/>
    </dgm:pt>
    <dgm:pt modelId="{19AF4637-7FEA-4690-A4DD-27D799245FE4}" type="pres">
      <dgm:prSet presAssocID="{2B1D055E-0FA2-4154-9604-85ADAF1D1B7A}" presName="LevelTwoTextNode" presStyleLbl="node3" presStyleIdx="4" presStyleCnt="19" custScaleX="334782" custScaleY="51808">
        <dgm:presLayoutVars>
          <dgm:chPref val="3"/>
        </dgm:presLayoutVars>
      </dgm:prSet>
      <dgm:spPr/>
    </dgm:pt>
    <dgm:pt modelId="{6969DA81-0A56-488B-8096-0AA4C5894855}" type="pres">
      <dgm:prSet presAssocID="{2B1D055E-0FA2-4154-9604-85ADAF1D1B7A}" presName="level3hierChild" presStyleCnt="0"/>
      <dgm:spPr/>
    </dgm:pt>
    <dgm:pt modelId="{D975C6DF-1F48-4869-9A53-4384ADD3D3AC}" type="pres">
      <dgm:prSet presAssocID="{B0275BDE-F460-434C-98D1-722E35768086}" presName="conn2-1" presStyleLbl="parChTrans1D2" presStyleIdx="2" presStyleCnt="6"/>
      <dgm:spPr/>
    </dgm:pt>
    <dgm:pt modelId="{5B201AE1-88D7-4797-A05D-15A3C9A9A8B0}" type="pres">
      <dgm:prSet presAssocID="{B0275BDE-F460-434C-98D1-722E35768086}" presName="connTx" presStyleLbl="parChTrans1D2" presStyleIdx="2" presStyleCnt="6"/>
      <dgm:spPr/>
    </dgm:pt>
    <dgm:pt modelId="{A8E6FC06-7A39-4822-9A16-45BCE41332BC}" type="pres">
      <dgm:prSet presAssocID="{6F010CC2-461B-441B-A523-D80765C2839E}" presName="root2" presStyleCnt="0"/>
      <dgm:spPr/>
    </dgm:pt>
    <dgm:pt modelId="{71093D83-133A-452A-B966-7989D6C0947F}" type="pres">
      <dgm:prSet presAssocID="{6F010CC2-461B-441B-A523-D80765C2839E}" presName="LevelTwoTextNode" presStyleLbl="node2" presStyleIdx="2" presStyleCnt="6">
        <dgm:presLayoutVars>
          <dgm:chPref val="3"/>
        </dgm:presLayoutVars>
      </dgm:prSet>
      <dgm:spPr/>
    </dgm:pt>
    <dgm:pt modelId="{B5E457A6-8721-4DDA-8096-A031E69B8981}" type="pres">
      <dgm:prSet presAssocID="{6F010CC2-461B-441B-A523-D80765C2839E}" presName="level3hierChild" presStyleCnt="0"/>
      <dgm:spPr/>
    </dgm:pt>
    <dgm:pt modelId="{9FAF14BE-DF74-49A8-AD28-95432D77EAF5}" type="pres">
      <dgm:prSet presAssocID="{72892D38-CBF8-4A31-A806-F0690B5D1489}" presName="conn2-1" presStyleLbl="parChTrans1D3" presStyleIdx="5" presStyleCnt="19"/>
      <dgm:spPr/>
    </dgm:pt>
    <dgm:pt modelId="{46536611-C4AA-49DF-BE07-07271D10BEC8}" type="pres">
      <dgm:prSet presAssocID="{72892D38-CBF8-4A31-A806-F0690B5D1489}" presName="connTx" presStyleLbl="parChTrans1D3" presStyleIdx="5" presStyleCnt="19"/>
      <dgm:spPr/>
    </dgm:pt>
    <dgm:pt modelId="{988A5806-0253-412D-8BA9-73C43F770F7A}" type="pres">
      <dgm:prSet presAssocID="{EF7BE47F-C1D0-4C58-BAA1-A8766EC87F04}" presName="root2" presStyleCnt="0"/>
      <dgm:spPr/>
    </dgm:pt>
    <dgm:pt modelId="{88E72931-3C73-48FC-ABBC-E416941CD464}" type="pres">
      <dgm:prSet presAssocID="{EF7BE47F-C1D0-4C58-BAA1-A8766EC87F04}" presName="LevelTwoTextNode" presStyleLbl="node3" presStyleIdx="5" presStyleCnt="19" custScaleX="334782" custScaleY="51808">
        <dgm:presLayoutVars>
          <dgm:chPref val="3"/>
        </dgm:presLayoutVars>
      </dgm:prSet>
      <dgm:spPr/>
    </dgm:pt>
    <dgm:pt modelId="{BEFB861C-D890-4CC1-9FFB-9B74EFE5D24F}" type="pres">
      <dgm:prSet presAssocID="{EF7BE47F-C1D0-4C58-BAA1-A8766EC87F04}" presName="level3hierChild" presStyleCnt="0"/>
      <dgm:spPr/>
    </dgm:pt>
    <dgm:pt modelId="{46E58718-38C4-44F0-BFB7-0B58D42EC0A4}" type="pres">
      <dgm:prSet presAssocID="{A40D56A2-06F8-4243-B41B-A2C39191EB4D}" presName="conn2-1" presStyleLbl="parChTrans1D3" presStyleIdx="6" presStyleCnt="19"/>
      <dgm:spPr/>
    </dgm:pt>
    <dgm:pt modelId="{FA0AE99B-1671-40ED-8D09-4264DFFA50D1}" type="pres">
      <dgm:prSet presAssocID="{A40D56A2-06F8-4243-B41B-A2C39191EB4D}" presName="connTx" presStyleLbl="parChTrans1D3" presStyleIdx="6" presStyleCnt="19"/>
      <dgm:spPr/>
    </dgm:pt>
    <dgm:pt modelId="{E4B4415B-0E1D-415B-BA4B-F4A1D61E9DA0}" type="pres">
      <dgm:prSet presAssocID="{E0D7158E-67D7-4A67-9227-02721D2DA146}" presName="root2" presStyleCnt="0"/>
      <dgm:spPr/>
    </dgm:pt>
    <dgm:pt modelId="{96ABAD13-D8BE-4D5B-BF3C-E7BC6931C8FA}" type="pres">
      <dgm:prSet presAssocID="{E0D7158E-67D7-4A67-9227-02721D2DA146}" presName="LevelTwoTextNode" presStyleLbl="node3" presStyleIdx="6" presStyleCnt="19" custScaleX="334782" custScaleY="51808">
        <dgm:presLayoutVars>
          <dgm:chPref val="3"/>
        </dgm:presLayoutVars>
      </dgm:prSet>
      <dgm:spPr/>
    </dgm:pt>
    <dgm:pt modelId="{6A3E6210-EBE8-408F-9745-B2B3E4B9416E}" type="pres">
      <dgm:prSet presAssocID="{E0D7158E-67D7-4A67-9227-02721D2DA146}" presName="level3hierChild" presStyleCnt="0"/>
      <dgm:spPr/>
    </dgm:pt>
    <dgm:pt modelId="{B6F20738-6DA3-44A4-B2DA-859D352924AC}" type="pres">
      <dgm:prSet presAssocID="{71EEAFB1-2DC3-49FE-8EAD-20F06355E326}" presName="conn2-1" presStyleLbl="parChTrans1D3" presStyleIdx="7" presStyleCnt="19"/>
      <dgm:spPr/>
    </dgm:pt>
    <dgm:pt modelId="{86E63DBD-08D8-46A2-B1B1-92FD928429A1}" type="pres">
      <dgm:prSet presAssocID="{71EEAFB1-2DC3-49FE-8EAD-20F06355E326}" presName="connTx" presStyleLbl="parChTrans1D3" presStyleIdx="7" presStyleCnt="19"/>
      <dgm:spPr/>
    </dgm:pt>
    <dgm:pt modelId="{16E8ED8C-78FE-4393-B809-1C59A91F0051}" type="pres">
      <dgm:prSet presAssocID="{F313103F-91E5-4C39-BB16-3D113D62BF02}" presName="root2" presStyleCnt="0"/>
      <dgm:spPr/>
    </dgm:pt>
    <dgm:pt modelId="{78BC6D7D-B441-494D-B721-D03D80379CF6}" type="pres">
      <dgm:prSet presAssocID="{F313103F-91E5-4C39-BB16-3D113D62BF02}" presName="LevelTwoTextNode" presStyleLbl="node3" presStyleIdx="7" presStyleCnt="19" custScaleX="334782" custScaleY="51808">
        <dgm:presLayoutVars>
          <dgm:chPref val="3"/>
        </dgm:presLayoutVars>
      </dgm:prSet>
      <dgm:spPr/>
    </dgm:pt>
    <dgm:pt modelId="{E1F48BF8-B223-495B-97B0-A5F76E728189}" type="pres">
      <dgm:prSet presAssocID="{F313103F-91E5-4C39-BB16-3D113D62BF02}" presName="level3hierChild" presStyleCnt="0"/>
      <dgm:spPr/>
    </dgm:pt>
    <dgm:pt modelId="{6260AF23-FDC1-4CEA-866A-6B88F944EE63}" type="pres">
      <dgm:prSet presAssocID="{0A3364BE-FC07-4F21-96BC-145D80AF3623}" presName="conn2-1" presStyleLbl="parChTrans1D3" presStyleIdx="8" presStyleCnt="19"/>
      <dgm:spPr/>
    </dgm:pt>
    <dgm:pt modelId="{F23F1282-E8A9-42CB-AF86-F1D48DADB0D3}" type="pres">
      <dgm:prSet presAssocID="{0A3364BE-FC07-4F21-96BC-145D80AF3623}" presName="connTx" presStyleLbl="parChTrans1D3" presStyleIdx="8" presStyleCnt="19"/>
      <dgm:spPr/>
    </dgm:pt>
    <dgm:pt modelId="{9F0A78BC-1D7F-4340-928B-302832B76E98}" type="pres">
      <dgm:prSet presAssocID="{09A99F66-F4A3-4BFC-A2C1-BC485CD0F0B5}" presName="root2" presStyleCnt="0"/>
      <dgm:spPr/>
    </dgm:pt>
    <dgm:pt modelId="{64294F35-AEC2-41F2-BD32-9A3D1647D3F5}" type="pres">
      <dgm:prSet presAssocID="{09A99F66-F4A3-4BFC-A2C1-BC485CD0F0B5}" presName="LevelTwoTextNode" presStyleLbl="node3" presStyleIdx="8" presStyleCnt="19" custScaleX="334782" custScaleY="51808">
        <dgm:presLayoutVars>
          <dgm:chPref val="3"/>
        </dgm:presLayoutVars>
      </dgm:prSet>
      <dgm:spPr/>
    </dgm:pt>
    <dgm:pt modelId="{0AF336CC-B749-4F43-832E-944C629B7F01}" type="pres">
      <dgm:prSet presAssocID="{09A99F66-F4A3-4BFC-A2C1-BC485CD0F0B5}" presName="level3hierChild" presStyleCnt="0"/>
      <dgm:spPr/>
    </dgm:pt>
    <dgm:pt modelId="{372436AE-A903-42B2-942B-52DBBB32A021}" type="pres">
      <dgm:prSet presAssocID="{1BA94AB6-C63B-4681-92E8-78FFDEC51868}" presName="conn2-1" presStyleLbl="parChTrans1D2" presStyleIdx="3" presStyleCnt="6"/>
      <dgm:spPr/>
    </dgm:pt>
    <dgm:pt modelId="{C5D221F5-E745-4BA5-8BBC-00A5A53793FD}" type="pres">
      <dgm:prSet presAssocID="{1BA94AB6-C63B-4681-92E8-78FFDEC51868}" presName="connTx" presStyleLbl="parChTrans1D2" presStyleIdx="3" presStyleCnt="6"/>
      <dgm:spPr/>
    </dgm:pt>
    <dgm:pt modelId="{A55050A1-8CBA-401C-9C7B-B5EC3772FC10}" type="pres">
      <dgm:prSet presAssocID="{DC54C6CB-B5B7-47E9-97E2-3E3BA63801DD}" presName="root2" presStyleCnt="0"/>
      <dgm:spPr/>
    </dgm:pt>
    <dgm:pt modelId="{E58307EC-3C87-4E8B-97C2-994DB3B57AAD}" type="pres">
      <dgm:prSet presAssocID="{DC54C6CB-B5B7-47E9-97E2-3E3BA63801DD}" presName="LevelTwoTextNode" presStyleLbl="node2" presStyleIdx="3" presStyleCnt="6">
        <dgm:presLayoutVars>
          <dgm:chPref val="3"/>
        </dgm:presLayoutVars>
      </dgm:prSet>
      <dgm:spPr/>
    </dgm:pt>
    <dgm:pt modelId="{0BFA9263-A88D-4CC8-A62A-767200DEF396}" type="pres">
      <dgm:prSet presAssocID="{DC54C6CB-B5B7-47E9-97E2-3E3BA63801DD}" presName="level3hierChild" presStyleCnt="0"/>
      <dgm:spPr/>
    </dgm:pt>
    <dgm:pt modelId="{D4D96907-D52F-4669-A156-41C1431D3308}" type="pres">
      <dgm:prSet presAssocID="{B18EDA98-79AE-4C1A-BE02-8706920C7048}" presName="conn2-1" presStyleLbl="parChTrans1D3" presStyleIdx="9" presStyleCnt="19"/>
      <dgm:spPr/>
    </dgm:pt>
    <dgm:pt modelId="{DED8DCEB-C8D2-4E73-981C-85FDBABC8960}" type="pres">
      <dgm:prSet presAssocID="{B18EDA98-79AE-4C1A-BE02-8706920C7048}" presName="connTx" presStyleLbl="parChTrans1D3" presStyleIdx="9" presStyleCnt="19"/>
      <dgm:spPr/>
    </dgm:pt>
    <dgm:pt modelId="{93978D51-FA8C-427D-956B-FD658388CC9A}" type="pres">
      <dgm:prSet presAssocID="{219839E2-F122-4BF4-AE5F-C7277279E935}" presName="root2" presStyleCnt="0"/>
      <dgm:spPr/>
    </dgm:pt>
    <dgm:pt modelId="{146DA20F-D5BF-47D5-A429-6CEDB3B150A0}" type="pres">
      <dgm:prSet presAssocID="{219839E2-F122-4BF4-AE5F-C7277279E935}" presName="LevelTwoTextNode" presStyleLbl="node3" presStyleIdx="9" presStyleCnt="19" custScaleX="334782" custScaleY="51808">
        <dgm:presLayoutVars>
          <dgm:chPref val="3"/>
        </dgm:presLayoutVars>
      </dgm:prSet>
      <dgm:spPr/>
    </dgm:pt>
    <dgm:pt modelId="{A60A8A50-1361-4750-99E5-E59E7C09CB0D}" type="pres">
      <dgm:prSet presAssocID="{219839E2-F122-4BF4-AE5F-C7277279E935}" presName="level3hierChild" presStyleCnt="0"/>
      <dgm:spPr/>
    </dgm:pt>
    <dgm:pt modelId="{D7E5716B-AAF3-4200-BD94-EA4C046FEA22}" type="pres">
      <dgm:prSet presAssocID="{39CD6766-2B5E-4D8E-ABA1-B3B25EE689E3}" presName="conn2-1" presStyleLbl="parChTrans1D3" presStyleIdx="10" presStyleCnt="19"/>
      <dgm:spPr/>
    </dgm:pt>
    <dgm:pt modelId="{54BB266E-AC78-4907-80DA-AA205A74228A}" type="pres">
      <dgm:prSet presAssocID="{39CD6766-2B5E-4D8E-ABA1-B3B25EE689E3}" presName="connTx" presStyleLbl="parChTrans1D3" presStyleIdx="10" presStyleCnt="19"/>
      <dgm:spPr/>
    </dgm:pt>
    <dgm:pt modelId="{0E8C66BE-B705-41B7-9137-D8D616950140}" type="pres">
      <dgm:prSet presAssocID="{23BBFA85-6104-4A97-8F78-E82E909B69BD}" presName="root2" presStyleCnt="0"/>
      <dgm:spPr/>
    </dgm:pt>
    <dgm:pt modelId="{4A577E75-FF5E-4175-AAC6-273BAD6F6639}" type="pres">
      <dgm:prSet presAssocID="{23BBFA85-6104-4A97-8F78-E82E909B69BD}" presName="LevelTwoTextNode" presStyleLbl="node3" presStyleIdx="10" presStyleCnt="19" custScaleX="334782" custScaleY="51808">
        <dgm:presLayoutVars>
          <dgm:chPref val="3"/>
        </dgm:presLayoutVars>
      </dgm:prSet>
      <dgm:spPr/>
    </dgm:pt>
    <dgm:pt modelId="{6F397DE6-9DCC-44FF-88B4-C711692F0DDC}" type="pres">
      <dgm:prSet presAssocID="{23BBFA85-6104-4A97-8F78-E82E909B69BD}" presName="level3hierChild" presStyleCnt="0"/>
      <dgm:spPr/>
    </dgm:pt>
    <dgm:pt modelId="{3C563882-B935-4E9A-B365-F5CAE854D6CA}" type="pres">
      <dgm:prSet presAssocID="{79782BCC-A4F1-47D9-B04C-8C2309AEE177}" presName="conn2-1" presStyleLbl="parChTrans1D3" presStyleIdx="11" presStyleCnt="19"/>
      <dgm:spPr/>
    </dgm:pt>
    <dgm:pt modelId="{F7643884-22C5-4995-BC1B-375C0327E9BD}" type="pres">
      <dgm:prSet presAssocID="{79782BCC-A4F1-47D9-B04C-8C2309AEE177}" presName="connTx" presStyleLbl="parChTrans1D3" presStyleIdx="11" presStyleCnt="19"/>
      <dgm:spPr/>
    </dgm:pt>
    <dgm:pt modelId="{CBCD64FE-03A5-4C60-8889-366920D06E1F}" type="pres">
      <dgm:prSet presAssocID="{52969E13-1B00-402C-83B7-07297354394B}" presName="root2" presStyleCnt="0"/>
      <dgm:spPr/>
    </dgm:pt>
    <dgm:pt modelId="{6ED6BE51-78F3-446D-8AA8-6D7A43AA69B0}" type="pres">
      <dgm:prSet presAssocID="{52969E13-1B00-402C-83B7-07297354394B}" presName="LevelTwoTextNode" presStyleLbl="node3" presStyleIdx="11" presStyleCnt="19" custScaleX="334782" custScaleY="51808">
        <dgm:presLayoutVars>
          <dgm:chPref val="3"/>
        </dgm:presLayoutVars>
      </dgm:prSet>
      <dgm:spPr/>
    </dgm:pt>
    <dgm:pt modelId="{01F69155-7B59-45D9-8CCB-995408813E92}" type="pres">
      <dgm:prSet presAssocID="{52969E13-1B00-402C-83B7-07297354394B}" presName="level3hierChild" presStyleCnt="0"/>
      <dgm:spPr/>
    </dgm:pt>
    <dgm:pt modelId="{A8189CA4-637D-416B-A1A0-C04008298E5F}" type="pres">
      <dgm:prSet presAssocID="{2BD4BDC3-06B7-47FA-8E8A-BBDD87CD788B}" presName="conn2-1" presStyleLbl="parChTrans1D2" presStyleIdx="4" presStyleCnt="6"/>
      <dgm:spPr/>
    </dgm:pt>
    <dgm:pt modelId="{F6429301-95BB-4746-8868-8B70FED04239}" type="pres">
      <dgm:prSet presAssocID="{2BD4BDC3-06B7-47FA-8E8A-BBDD87CD788B}" presName="connTx" presStyleLbl="parChTrans1D2" presStyleIdx="4" presStyleCnt="6"/>
      <dgm:spPr/>
    </dgm:pt>
    <dgm:pt modelId="{249D3874-829C-459D-A535-8EA5986E8932}" type="pres">
      <dgm:prSet presAssocID="{C489EB2D-B9F0-492C-BF31-5B27B8320241}" presName="root2" presStyleCnt="0"/>
      <dgm:spPr/>
    </dgm:pt>
    <dgm:pt modelId="{03623332-D118-40B5-9F5F-9778F7EC6A99}" type="pres">
      <dgm:prSet presAssocID="{C489EB2D-B9F0-492C-BF31-5B27B8320241}" presName="LevelTwoTextNode" presStyleLbl="node2" presStyleIdx="4" presStyleCnt="6" custScaleY="163326">
        <dgm:presLayoutVars>
          <dgm:chPref val="3"/>
        </dgm:presLayoutVars>
      </dgm:prSet>
      <dgm:spPr/>
    </dgm:pt>
    <dgm:pt modelId="{A3F2C29C-6263-4EE5-BD9B-CBDDEC97FA33}" type="pres">
      <dgm:prSet presAssocID="{C489EB2D-B9F0-492C-BF31-5B27B8320241}" presName="level3hierChild" presStyleCnt="0"/>
      <dgm:spPr/>
    </dgm:pt>
    <dgm:pt modelId="{2281EEB8-E0B7-4CB3-B503-CC9DDB85B38E}" type="pres">
      <dgm:prSet presAssocID="{E0821B91-F679-433E-AE11-4B3AD3F2E0BD}" presName="conn2-1" presStyleLbl="parChTrans1D3" presStyleIdx="12" presStyleCnt="19"/>
      <dgm:spPr/>
    </dgm:pt>
    <dgm:pt modelId="{DAF41DF9-1BBD-4AC5-B29B-BA2085B139D0}" type="pres">
      <dgm:prSet presAssocID="{E0821B91-F679-433E-AE11-4B3AD3F2E0BD}" presName="connTx" presStyleLbl="parChTrans1D3" presStyleIdx="12" presStyleCnt="19"/>
      <dgm:spPr/>
    </dgm:pt>
    <dgm:pt modelId="{02546182-DCDA-4DEE-9D44-A6B74D85FF19}" type="pres">
      <dgm:prSet presAssocID="{40095E92-5A50-4FD7-9DC7-54C0ED4E471F}" presName="root2" presStyleCnt="0"/>
      <dgm:spPr/>
    </dgm:pt>
    <dgm:pt modelId="{ECA161AC-D090-45AC-946D-6C93F5F92BB9}" type="pres">
      <dgm:prSet presAssocID="{40095E92-5A50-4FD7-9DC7-54C0ED4E471F}" presName="LevelTwoTextNode" presStyleLbl="node3" presStyleIdx="12" presStyleCnt="19" custScaleX="334782" custScaleY="51808">
        <dgm:presLayoutVars>
          <dgm:chPref val="3"/>
        </dgm:presLayoutVars>
      </dgm:prSet>
      <dgm:spPr/>
    </dgm:pt>
    <dgm:pt modelId="{2EBF75C7-B11C-4DF8-A850-CD742E6E5C9B}" type="pres">
      <dgm:prSet presAssocID="{40095E92-5A50-4FD7-9DC7-54C0ED4E471F}" presName="level3hierChild" presStyleCnt="0"/>
      <dgm:spPr/>
    </dgm:pt>
    <dgm:pt modelId="{5C78B9A6-1B08-405F-9B8B-1C1F6B0CD323}" type="pres">
      <dgm:prSet presAssocID="{79E96F2F-2306-4B5C-AC22-3C69A21D5CA2}" presName="conn2-1" presStyleLbl="parChTrans1D3" presStyleIdx="13" presStyleCnt="19"/>
      <dgm:spPr/>
    </dgm:pt>
    <dgm:pt modelId="{005CA8E5-8435-42D2-998A-7E3A374490F0}" type="pres">
      <dgm:prSet presAssocID="{79E96F2F-2306-4B5C-AC22-3C69A21D5CA2}" presName="connTx" presStyleLbl="parChTrans1D3" presStyleIdx="13" presStyleCnt="19"/>
      <dgm:spPr/>
    </dgm:pt>
    <dgm:pt modelId="{083F5E71-4C31-420D-B53F-CE05005A61DB}" type="pres">
      <dgm:prSet presAssocID="{E5CCB424-925B-41F0-BAAA-30BC87F41F1D}" presName="root2" presStyleCnt="0"/>
      <dgm:spPr/>
    </dgm:pt>
    <dgm:pt modelId="{EF58B2E1-8F4D-43DE-84FC-26255917CC37}" type="pres">
      <dgm:prSet presAssocID="{E5CCB424-925B-41F0-BAAA-30BC87F41F1D}" presName="LevelTwoTextNode" presStyleLbl="node3" presStyleIdx="13" presStyleCnt="19" custScaleX="334782" custScaleY="51808">
        <dgm:presLayoutVars>
          <dgm:chPref val="3"/>
        </dgm:presLayoutVars>
      </dgm:prSet>
      <dgm:spPr/>
    </dgm:pt>
    <dgm:pt modelId="{681C07E6-018E-44F7-8611-02CB820F4975}" type="pres">
      <dgm:prSet presAssocID="{E5CCB424-925B-41F0-BAAA-30BC87F41F1D}" presName="level3hierChild" presStyleCnt="0"/>
      <dgm:spPr/>
    </dgm:pt>
    <dgm:pt modelId="{C43FBB02-08C0-4092-A160-8C980DA8CF8B}" type="pres">
      <dgm:prSet presAssocID="{61238695-2CC9-43A0-A847-24FAA827AEDF}" presName="conn2-1" presStyleLbl="parChTrans1D3" presStyleIdx="14" presStyleCnt="19"/>
      <dgm:spPr/>
    </dgm:pt>
    <dgm:pt modelId="{1458CA0A-C8F0-49B0-9B22-354C5DA19243}" type="pres">
      <dgm:prSet presAssocID="{61238695-2CC9-43A0-A847-24FAA827AEDF}" presName="connTx" presStyleLbl="parChTrans1D3" presStyleIdx="14" presStyleCnt="19"/>
      <dgm:spPr/>
    </dgm:pt>
    <dgm:pt modelId="{39BCE142-99E9-46A7-B86C-5B21A5379841}" type="pres">
      <dgm:prSet presAssocID="{4DCB9722-41EB-480C-BF1A-FBE7008926B7}" presName="root2" presStyleCnt="0"/>
      <dgm:spPr/>
    </dgm:pt>
    <dgm:pt modelId="{26CAE0B6-4B1A-4A07-9248-1F1FAB7F75E5}" type="pres">
      <dgm:prSet presAssocID="{4DCB9722-41EB-480C-BF1A-FBE7008926B7}" presName="LevelTwoTextNode" presStyleLbl="node3" presStyleIdx="14" presStyleCnt="19" custScaleX="334782" custScaleY="51808">
        <dgm:presLayoutVars>
          <dgm:chPref val="3"/>
        </dgm:presLayoutVars>
      </dgm:prSet>
      <dgm:spPr/>
    </dgm:pt>
    <dgm:pt modelId="{BC140C9B-3E00-4A6C-80FE-F89F0AA8BA37}" type="pres">
      <dgm:prSet presAssocID="{4DCB9722-41EB-480C-BF1A-FBE7008926B7}" presName="level3hierChild" presStyleCnt="0"/>
      <dgm:spPr/>
    </dgm:pt>
    <dgm:pt modelId="{329FD21A-5770-4601-B68B-2FB06148937A}" type="pres">
      <dgm:prSet presAssocID="{B90C8B5F-5EEF-407A-ADC1-15F9BD5EF8F4}" presName="conn2-1" presStyleLbl="parChTrans1D3" presStyleIdx="15" presStyleCnt="19"/>
      <dgm:spPr/>
    </dgm:pt>
    <dgm:pt modelId="{9862A583-7B32-49D2-A656-2A50DFAF09E5}" type="pres">
      <dgm:prSet presAssocID="{B90C8B5F-5EEF-407A-ADC1-15F9BD5EF8F4}" presName="connTx" presStyleLbl="parChTrans1D3" presStyleIdx="15" presStyleCnt="19"/>
      <dgm:spPr/>
    </dgm:pt>
    <dgm:pt modelId="{4FF353E9-0A7F-436B-A267-75A6525EF872}" type="pres">
      <dgm:prSet presAssocID="{81BCE850-1B31-4811-BCD8-D8B28E4EBFDE}" presName="root2" presStyleCnt="0"/>
      <dgm:spPr/>
    </dgm:pt>
    <dgm:pt modelId="{DDD8CA60-47A4-40BE-AE65-DEB8E01FA1EF}" type="pres">
      <dgm:prSet presAssocID="{81BCE850-1B31-4811-BCD8-D8B28E4EBFDE}" presName="LevelTwoTextNode" presStyleLbl="node3" presStyleIdx="15" presStyleCnt="19" custScaleX="334782" custScaleY="51808">
        <dgm:presLayoutVars>
          <dgm:chPref val="3"/>
        </dgm:presLayoutVars>
      </dgm:prSet>
      <dgm:spPr/>
    </dgm:pt>
    <dgm:pt modelId="{3979CD0F-CB8D-4233-BF80-D95115C04EEE}" type="pres">
      <dgm:prSet presAssocID="{81BCE850-1B31-4811-BCD8-D8B28E4EBFDE}" presName="level3hierChild" presStyleCnt="0"/>
      <dgm:spPr/>
    </dgm:pt>
    <dgm:pt modelId="{068A4749-5D03-4190-ADFC-856DC7C32493}" type="pres">
      <dgm:prSet presAssocID="{2029CCCE-1F4C-428A-8932-6F8EE10A5DAA}" presName="conn2-1" presStyleLbl="parChTrans1D2" presStyleIdx="5" presStyleCnt="6"/>
      <dgm:spPr/>
    </dgm:pt>
    <dgm:pt modelId="{9B3B27E7-5857-4806-8B11-D69A6BBCE8B9}" type="pres">
      <dgm:prSet presAssocID="{2029CCCE-1F4C-428A-8932-6F8EE10A5DAA}" presName="connTx" presStyleLbl="parChTrans1D2" presStyleIdx="5" presStyleCnt="6"/>
      <dgm:spPr/>
    </dgm:pt>
    <dgm:pt modelId="{7316572B-24C0-4F16-B74E-A1D2D37F67FB}" type="pres">
      <dgm:prSet presAssocID="{45F3BCC3-4660-4C41-8275-98F46E4B624F}" presName="root2" presStyleCnt="0"/>
      <dgm:spPr/>
    </dgm:pt>
    <dgm:pt modelId="{E7ECED2F-FDDA-4478-A3C2-7C0A472E6F39}" type="pres">
      <dgm:prSet presAssocID="{45F3BCC3-4660-4C41-8275-98F46E4B624F}" presName="LevelTwoTextNode" presStyleLbl="node2" presStyleIdx="5" presStyleCnt="6">
        <dgm:presLayoutVars>
          <dgm:chPref val="3"/>
        </dgm:presLayoutVars>
      </dgm:prSet>
      <dgm:spPr/>
    </dgm:pt>
    <dgm:pt modelId="{F5CDAB58-C5B2-4F84-A80F-4073BF7E40B1}" type="pres">
      <dgm:prSet presAssocID="{45F3BCC3-4660-4C41-8275-98F46E4B624F}" presName="level3hierChild" presStyleCnt="0"/>
      <dgm:spPr/>
    </dgm:pt>
    <dgm:pt modelId="{C45CF74E-DC25-467D-998A-93C49E51FB9B}" type="pres">
      <dgm:prSet presAssocID="{BBD41DFB-C695-4CBB-A127-65AB4FBB61C4}" presName="conn2-1" presStyleLbl="parChTrans1D3" presStyleIdx="16" presStyleCnt="19"/>
      <dgm:spPr/>
    </dgm:pt>
    <dgm:pt modelId="{E9619A82-21E4-4F32-A005-DBA38A669473}" type="pres">
      <dgm:prSet presAssocID="{BBD41DFB-C695-4CBB-A127-65AB4FBB61C4}" presName="connTx" presStyleLbl="parChTrans1D3" presStyleIdx="16" presStyleCnt="19"/>
      <dgm:spPr/>
    </dgm:pt>
    <dgm:pt modelId="{44E2E80C-00DD-47AC-96CC-E986363DFDE0}" type="pres">
      <dgm:prSet presAssocID="{9F81D7FE-7C8E-4DDD-9021-BDBE901382BB}" presName="root2" presStyleCnt="0"/>
      <dgm:spPr/>
    </dgm:pt>
    <dgm:pt modelId="{38BBCF4D-FE81-4480-A338-C5B3FEE2E537}" type="pres">
      <dgm:prSet presAssocID="{9F81D7FE-7C8E-4DDD-9021-BDBE901382BB}" presName="LevelTwoTextNode" presStyleLbl="node3" presStyleIdx="16" presStyleCnt="19" custScaleX="334782" custScaleY="51808">
        <dgm:presLayoutVars>
          <dgm:chPref val="3"/>
        </dgm:presLayoutVars>
      </dgm:prSet>
      <dgm:spPr/>
    </dgm:pt>
    <dgm:pt modelId="{29F9F1D3-24A6-4569-9A66-8EB898E8C4B1}" type="pres">
      <dgm:prSet presAssocID="{9F81D7FE-7C8E-4DDD-9021-BDBE901382BB}" presName="level3hierChild" presStyleCnt="0"/>
      <dgm:spPr/>
    </dgm:pt>
    <dgm:pt modelId="{3CAEF3DD-5341-4636-8FB8-4E1307D36BC1}" type="pres">
      <dgm:prSet presAssocID="{754A7BCF-9614-4E32-B892-6847425307B5}" presName="conn2-1" presStyleLbl="parChTrans1D3" presStyleIdx="17" presStyleCnt="19"/>
      <dgm:spPr/>
    </dgm:pt>
    <dgm:pt modelId="{12850AD2-E60D-4B54-A075-1A4EC4076027}" type="pres">
      <dgm:prSet presAssocID="{754A7BCF-9614-4E32-B892-6847425307B5}" presName="connTx" presStyleLbl="parChTrans1D3" presStyleIdx="17" presStyleCnt="19"/>
      <dgm:spPr/>
    </dgm:pt>
    <dgm:pt modelId="{514E11FE-2DDD-43EE-99FF-0DD2444FCAC1}" type="pres">
      <dgm:prSet presAssocID="{706454AC-2A79-4DD9-935E-6410B0729348}" presName="root2" presStyleCnt="0"/>
      <dgm:spPr/>
    </dgm:pt>
    <dgm:pt modelId="{AC82A49C-38BE-493D-9692-511154921F4C}" type="pres">
      <dgm:prSet presAssocID="{706454AC-2A79-4DD9-935E-6410B0729348}" presName="LevelTwoTextNode" presStyleLbl="node3" presStyleIdx="17" presStyleCnt="19" custScaleX="334782" custScaleY="51808">
        <dgm:presLayoutVars>
          <dgm:chPref val="3"/>
        </dgm:presLayoutVars>
      </dgm:prSet>
      <dgm:spPr/>
    </dgm:pt>
    <dgm:pt modelId="{ABE7A626-9681-454E-BEE2-75B6F8C19F65}" type="pres">
      <dgm:prSet presAssocID="{706454AC-2A79-4DD9-935E-6410B0729348}" presName="level3hierChild" presStyleCnt="0"/>
      <dgm:spPr/>
    </dgm:pt>
    <dgm:pt modelId="{49411502-BE44-4E1B-90BA-7DB77AED9718}" type="pres">
      <dgm:prSet presAssocID="{AA17B3AE-4E59-4921-8099-86B94E7ED698}" presName="conn2-1" presStyleLbl="parChTrans1D3" presStyleIdx="18" presStyleCnt="19"/>
      <dgm:spPr/>
    </dgm:pt>
    <dgm:pt modelId="{5AF71E26-FE5F-4571-A700-E87945598D7B}" type="pres">
      <dgm:prSet presAssocID="{AA17B3AE-4E59-4921-8099-86B94E7ED698}" presName="connTx" presStyleLbl="parChTrans1D3" presStyleIdx="18" presStyleCnt="19"/>
      <dgm:spPr/>
    </dgm:pt>
    <dgm:pt modelId="{70D688BB-EF0A-46FC-848C-00DF1B95104F}" type="pres">
      <dgm:prSet presAssocID="{E7891865-AC87-479E-9820-662B8AC51F36}" presName="root2" presStyleCnt="0"/>
      <dgm:spPr/>
    </dgm:pt>
    <dgm:pt modelId="{FE177B63-C0CC-441B-A400-C9281704BFD4}" type="pres">
      <dgm:prSet presAssocID="{E7891865-AC87-479E-9820-662B8AC51F36}" presName="LevelTwoTextNode" presStyleLbl="node3" presStyleIdx="18" presStyleCnt="19" custScaleX="334782" custScaleY="81475">
        <dgm:presLayoutVars>
          <dgm:chPref val="3"/>
        </dgm:presLayoutVars>
      </dgm:prSet>
      <dgm:spPr/>
    </dgm:pt>
    <dgm:pt modelId="{1F504616-E094-461A-962B-FD034ECC94A5}" type="pres">
      <dgm:prSet presAssocID="{E7891865-AC87-479E-9820-662B8AC51F36}" presName="level3hierChild" presStyleCnt="0"/>
      <dgm:spPr/>
    </dgm:pt>
    <dgm:pt modelId="{FB5E9AAD-1F75-416E-AA8F-D0A6695E6947}" type="pres">
      <dgm:prSet presAssocID="{53561E31-B59C-4469-8218-430DD5312286}" presName="conn2-1" presStyleLbl="parChTrans1D4" presStyleIdx="0" presStyleCnt="3"/>
      <dgm:spPr/>
    </dgm:pt>
    <dgm:pt modelId="{3272B62B-775E-407B-9452-8FC6E882C647}" type="pres">
      <dgm:prSet presAssocID="{53561E31-B59C-4469-8218-430DD5312286}" presName="connTx" presStyleLbl="parChTrans1D4" presStyleIdx="0" presStyleCnt="3"/>
      <dgm:spPr/>
    </dgm:pt>
    <dgm:pt modelId="{20EB80AF-FBD7-46E0-9DE8-4E525D823A4C}" type="pres">
      <dgm:prSet presAssocID="{D6024656-CFC1-494F-9B3C-6D48C50548CC}" presName="root2" presStyleCnt="0"/>
      <dgm:spPr/>
    </dgm:pt>
    <dgm:pt modelId="{382F2F9D-5BA5-4374-B098-0C93C6C7B6EF}" type="pres">
      <dgm:prSet presAssocID="{D6024656-CFC1-494F-9B3C-6D48C50548CC}" presName="LevelTwoTextNode" presStyleLbl="node4" presStyleIdx="0" presStyleCnt="3">
        <dgm:presLayoutVars>
          <dgm:chPref val="3"/>
        </dgm:presLayoutVars>
      </dgm:prSet>
      <dgm:spPr/>
    </dgm:pt>
    <dgm:pt modelId="{D6149853-DC94-4348-9A9D-74489626426D}" type="pres">
      <dgm:prSet presAssocID="{D6024656-CFC1-494F-9B3C-6D48C50548CC}" presName="level3hierChild" presStyleCnt="0"/>
      <dgm:spPr/>
    </dgm:pt>
    <dgm:pt modelId="{C0FB82FC-86FF-4EB7-9B7F-1AF0F99D44EF}" type="pres">
      <dgm:prSet presAssocID="{32C19ABB-90C1-4299-854B-C76519CE5084}" presName="conn2-1" presStyleLbl="parChTrans1D4" presStyleIdx="1" presStyleCnt="3"/>
      <dgm:spPr/>
    </dgm:pt>
    <dgm:pt modelId="{8E451590-EB3B-4778-9D0E-ADBD94B5E685}" type="pres">
      <dgm:prSet presAssocID="{32C19ABB-90C1-4299-854B-C76519CE5084}" presName="connTx" presStyleLbl="parChTrans1D4" presStyleIdx="1" presStyleCnt="3"/>
      <dgm:spPr/>
    </dgm:pt>
    <dgm:pt modelId="{255199CF-94AC-47E4-B1B4-D20908A092E6}" type="pres">
      <dgm:prSet presAssocID="{03EE56DE-A6AC-4602-B5A1-9C785AAFC420}" presName="root2" presStyleCnt="0"/>
      <dgm:spPr/>
    </dgm:pt>
    <dgm:pt modelId="{22FB63E2-E072-48D6-883F-2ACD9DE422B4}" type="pres">
      <dgm:prSet presAssocID="{03EE56DE-A6AC-4602-B5A1-9C785AAFC420}" presName="LevelTwoTextNode" presStyleLbl="node4" presStyleIdx="1" presStyleCnt="3">
        <dgm:presLayoutVars>
          <dgm:chPref val="3"/>
        </dgm:presLayoutVars>
      </dgm:prSet>
      <dgm:spPr/>
    </dgm:pt>
    <dgm:pt modelId="{BFF52400-446E-4E89-AFC0-73177DEF69F6}" type="pres">
      <dgm:prSet presAssocID="{03EE56DE-A6AC-4602-B5A1-9C785AAFC420}" presName="level3hierChild" presStyleCnt="0"/>
      <dgm:spPr/>
    </dgm:pt>
    <dgm:pt modelId="{263BAD38-4E01-4C25-B39F-B5577B7622B2}" type="pres">
      <dgm:prSet presAssocID="{B378D1A1-E791-492E-8E25-D6A736CFBC8C}" presName="conn2-1" presStyleLbl="parChTrans1D4" presStyleIdx="2" presStyleCnt="3"/>
      <dgm:spPr/>
    </dgm:pt>
    <dgm:pt modelId="{5BC71FDF-60BF-4159-8C94-D7993D90CA51}" type="pres">
      <dgm:prSet presAssocID="{B378D1A1-E791-492E-8E25-D6A736CFBC8C}" presName="connTx" presStyleLbl="parChTrans1D4" presStyleIdx="2" presStyleCnt="3"/>
      <dgm:spPr/>
    </dgm:pt>
    <dgm:pt modelId="{DDC7AB37-3D5D-4C7D-BD57-B37F3CA5868F}" type="pres">
      <dgm:prSet presAssocID="{7D79F1F5-6206-4622-9E79-07090EC0B950}" presName="root2" presStyleCnt="0"/>
      <dgm:spPr/>
    </dgm:pt>
    <dgm:pt modelId="{17E1E535-E996-45EE-BD59-F7EFBEA364BC}" type="pres">
      <dgm:prSet presAssocID="{7D79F1F5-6206-4622-9E79-07090EC0B950}" presName="LevelTwoTextNode" presStyleLbl="node4" presStyleIdx="2" presStyleCnt="3">
        <dgm:presLayoutVars>
          <dgm:chPref val="3"/>
        </dgm:presLayoutVars>
      </dgm:prSet>
      <dgm:spPr/>
    </dgm:pt>
    <dgm:pt modelId="{EEDA68DC-21CF-4A25-95D8-60FEBC631BFA}" type="pres">
      <dgm:prSet presAssocID="{7D79F1F5-6206-4622-9E79-07090EC0B950}" presName="level3hierChild" presStyleCnt="0"/>
      <dgm:spPr/>
    </dgm:pt>
  </dgm:ptLst>
  <dgm:cxnLst>
    <dgm:cxn modelId="{B7B43200-2FED-4C0C-9477-CDC1C649FC5C}" type="presOf" srcId="{7CDA0981-FA2F-43B5-BE8C-EA5648283D5E}" destId="{EACF1505-376F-42E6-870E-D3C358EE8E75}" srcOrd="0" destOrd="0" presId="urn:microsoft.com/office/officeart/2005/8/layout/hierarchy2"/>
    <dgm:cxn modelId="{7C054103-E40E-469C-AD30-8B0F7FDC653D}" type="presOf" srcId="{79E96F2F-2306-4B5C-AC22-3C69A21D5CA2}" destId="{005CA8E5-8435-42D2-998A-7E3A374490F0}" srcOrd="1" destOrd="0" presId="urn:microsoft.com/office/officeart/2005/8/layout/hierarchy2"/>
    <dgm:cxn modelId="{773DD209-6557-429C-8728-C9ECC45C42AA}" srcId="{236ED2A6-C6DE-4AAB-9AE5-9BFC333F8501}" destId="{45F3BCC3-4660-4C41-8275-98F46E4B624F}" srcOrd="5" destOrd="0" parTransId="{2029CCCE-1F4C-428A-8932-6F8EE10A5DAA}" sibTransId="{1ACC263B-2BFF-4AB4-ACFA-7CE317B80EE7}"/>
    <dgm:cxn modelId="{299D670B-34CA-41A8-9D14-7BA8234782ED}" type="presOf" srcId="{2029CCCE-1F4C-428A-8932-6F8EE10A5DAA}" destId="{9B3B27E7-5857-4806-8B11-D69A6BBCE8B9}" srcOrd="1" destOrd="0" presId="urn:microsoft.com/office/officeart/2005/8/layout/hierarchy2"/>
    <dgm:cxn modelId="{A8E6450F-27B9-443F-A99B-EC4E4E8FCC10}" srcId="{DC54C6CB-B5B7-47E9-97E2-3E3BA63801DD}" destId="{23BBFA85-6104-4A97-8F78-E82E909B69BD}" srcOrd="1" destOrd="0" parTransId="{39CD6766-2B5E-4D8E-ABA1-B3B25EE689E3}" sibTransId="{FA81D10B-5BF6-4D33-B969-AEF08A3BF2CA}"/>
    <dgm:cxn modelId="{D7B3BC14-1D92-4D5F-9776-3DD5E9998A27}" type="presOf" srcId="{E170DEDF-F637-4E76-8653-4164A5E3CC76}" destId="{2CAC73D1-2D15-4F03-9149-015C547DA445}" srcOrd="0" destOrd="0" presId="urn:microsoft.com/office/officeart/2005/8/layout/hierarchy2"/>
    <dgm:cxn modelId="{391A2515-F274-44E7-8792-34EC201EFAFD}" type="presOf" srcId="{7D79F1F5-6206-4622-9E79-07090EC0B950}" destId="{17E1E535-E996-45EE-BD59-F7EFBEA364BC}" srcOrd="0" destOrd="0" presId="urn:microsoft.com/office/officeart/2005/8/layout/hierarchy2"/>
    <dgm:cxn modelId="{399DDC15-789E-4C05-9DC2-B24F776C793B}" type="presOf" srcId="{E7891865-AC87-479E-9820-662B8AC51F36}" destId="{FE177B63-C0CC-441B-A400-C9281704BFD4}" srcOrd="0" destOrd="0" presId="urn:microsoft.com/office/officeart/2005/8/layout/hierarchy2"/>
    <dgm:cxn modelId="{229DF716-014C-4FD1-B679-4923AD081227}" type="presOf" srcId="{C489EB2D-B9F0-492C-BF31-5B27B8320241}" destId="{03623332-D118-40B5-9F5F-9778F7EC6A99}" srcOrd="0" destOrd="0" presId="urn:microsoft.com/office/officeart/2005/8/layout/hierarchy2"/>
    <dgm:cxn modelId="{E65BF717-F670-4F84-B6BD-182282245C5D}" srcId="{6F010CC2-461B-441B-A523-D80765C2839E}" destId="{09A99F66-F4A3-4BFC-A2C1-BC485CD0F0B5}" srcOrd="3" destOrd="0" parTransId="{0A3364BE-FC07-4F21-96BC-145D80AF3623}" sibTransId="{0C663950-07F6-41D8-86BB-8EF15213E2A6}"/>
    <dgm:cxn modelId="{240C8C1A-28C7-4257-AA1C-E3EF7A25188D}" type="presOf" srcId="{D355EEF8-428D-41BF-A161-F837C130A699}" destId="{712C809E-B891-46E8-BE08-646A33AB34DF}" srcOrd="0" destOrd="0" presId="urn:microsoft.com/office/officeart/2005/8/layout/hierarchy2"/>
    <dgm:cxn modelId="{F821861B-E748-40F1-A104-52C7B5C3A669}" type="presOf" srcId="{79782BCC-A4F1-47D9-B04C-8C2309AEE177}" destId="{F7643884-22C5-4995-BC1B-375C0327E9BD}" srcOrd="1" destOrd="0" presId="urn:microsoft.com/office/officeart/2005/8/layout/hierarchy2"/>
    <dgm:cxn modelId="{DBDB911B-5092-4979-B69B-5EF835E8F08B}" type="presOf" srcId="{53561E31-B59C-4469-8218-430DD5312286}" destId="{FB5E9AAD-1F75-416E-AA8F-D0A6695E6947}" srcOrd="0" destOrd="0" presId="urn:microsoft.com/office/officeart/2005/8/layout/hierarchy2"/>
    <dgm:cxn modelId="{3F199226-A405-43FC-AE84-762B00F73967}" type="presOf" srcId="{72892D38-CBF8-4A31-A806-F0690B5D1489}" destId="{9FAF14BE-DF74-49A8-AD28-95432D77EAF5}" srcOrd="0" destOrd="0" presId="urn:microsoft.com/office/officeart/2005/8/layout/hierarchy2"/>
    <dgm:cxn modelId="{8C778629-E1E8-4BFC-A20A-A67CBA2E5D24}" type="presOf" srcId="{32C19ABB-90C1-4299-854B-C76519CE5084}" destId="{8E451590-EB3B-4778-9D0E-ADBD94B5E685}" srcOrd="1" destOrd="0" presId="urn:microsoft.com/office/officeart/2005/8/layout/hierarchy2"/>
    <dgm:cxn modelId="{2929B029-5304-489D-8CC0-7EF905B18772}" type="presOf" srcId="{CD38772C-9D81-44C2-99B9-A1492C9FD469}" destId="{61092624-DFE9-4D0D-9453-3F731D7AE8EE}" srcOrd="0" destOrd="0" presId="urn:microsoft.com/office/officeart/2005/8/layout/hierarchy2"/>
    <dgm:cxn modelId="{5C2A912C-6A07-46C2-8B42-898BADEC649C}" type="presOf" srcId="{D6024656-CFC1-494F-9B3C-6D48C50548CC}" destId="{382F2F9D-5BA5-4374-B098-0C93C6C7B6EF}" srcOrd="0" destOrd="0" presId="urn:microsoft.com/office/officeart/2005/8/layout/hierarchy2"/>
    <dgm:cxn modelId="{30915730-982C-49B0-86D0-F2CF2133BE71}" type="presOf" srcId="{32594B73-6901-4C99-B9B8-E4F4905C3321}" destId="{31BB8760-49C1-40F6-B58D-4F5037F5026A}" srcOrd="0" destOrd="0" presId="urn:microsoft.com/office/officeart/2005/8/layout/hierarchy2"/>
    <dgm:cxn modelId="{F3BDE533-9932-4843-A9C8-90C6FF238E13}" type="presOf" srcId="{2BD4BDC3-06B7-47FA-8E8A-BBDD87CD788B}" destId="{A8189CA4-637D-416B-A1A0-C04008298E5F}" srcOrd="0" destOrd="0" presId="urn:microsoft.com/office/officeart/2005/8/layout/hierarchy2"/>
    <dgm:cxn modelId="{2C5C6934-D812-4FD9-B3C5-030AEA346B73}" type="presOf" srcId="{6C766D1B-48DD-4083-A1E1-2B25F79CBCA9}" destId="{3A8F84D3-B9BD-4B5E-A91A-1A075C69D4E6}" srcOrd="1" destOrd="0" presId="urn:microsoft.com/office/officeart/2005/8/layout/hierarchy2"/>
    <dgm:cxn modelId="{1EDB7136-3D1A-45D4-A7B3-9D324E663244}" srcId="{236ED2A6-C6DE-4AAB-9AE5-9BFC333F8501}" destId="{C489EB2D-B9F0-492C-BF31-5B27B8320241}" srcOrd="4" destOrd="0" parTransId="{2BD4BDC3-06B7-47FA-8E8A-BBDD87CD788B}" sibTransId="{675B49F9-031A-43AC-8B6F-5AFE2C390B88}"/>
    <dgm:cxn modelId="{FF34033A-05AA-4FC4-B056-6A39CA190A8E}" type="presOf" srcId="{B378D1A1-E791-492E-8E25-D6A736CFBC8C}" destId="{5BC71FDF-60BF-4159-8C94-D7993D90CA51}" srcOrd="1" destOrd="0" presId="urn:microsoft.com/office/officeart/2005/8/layout/hierarchy2"/>
    <dgm:cxn modelId="{0F23573A-9A44-42B5-A90C-3825427CB463}" type="presOf" srcId="{754A7BCF-9614-4E32-B892-6847425307B5}" destId="{3CAEF3DD-5341-4636-8FB8-4E1307D36BC1}" srcOrd="0" destOrd="0" presId="urn:microsoft.com/office/officeart/2005/8/layout/hierarchy2"/>
    <dgm:cxn modelId="{13D9CC3A-BDFE-412D-A5E5-C8EA3DCFEA8C}" srcId="{6F010CC2-461B-441B-A523-D80765C2839E}" destId="{F313103F-91E5-4C39-BB16-3D113D62BF02}" srcOrd="2" destOrd="0" parTransId="{71EEAFB1-2DC3-49FE-8EAD-20F06355E326}" sibTransId="{22ADDBC1-D01B-4B4D-B69F-6F2A114362F2}"/>
    <dgm:cxn modelId="{F8FD523C-6D99-4CA2-A51E-19174A957486}" srcId="{24AA6174-1931-4669-A8E8-47C7AD017C73}" destId="{903E8CCA-8E62-4650-8B1C-F02E492E7445}" srcOrd="0" destOrd="0" parTransId="{7CDA0981-FA2F-43B5-BE8C-EA5648283D5E}" sibTransId="{03F249EB-0691-47D3-A860-9734DA8463E3}"/>
    <dgm:cxn modelId="{9DC24E3D-AA0A-490D-A97E-D197C7C2F967}" type="presOf" srcId="{3EC0ACF3-9387-4BC0-8395-CFBDF6108E0A}" destId="{5F3D26C0-B130-4EC4-9A76-DC7E9F3EC1A3}" srcOrd="0" destOrd="0" presId="urn:microsoft.com/office/officeart/2005/8/layout/hierarchy2"/>
    <dgm:cxn modelId="{C837D85B-DE93-41ED-839C-711E41C37AB0}" type="presOf" srcId="{B0275BDE-F460-434C-98D1-722E35768086}" destId="{5B201AE1-88D7-4797-A05D-15A3C9A9A8B0}" srcOrd="1" destOrd="0" presId="urn:microsoft.com/office/officeart/2005/8/layout/hierarchy2"/>
    <dgm:cxn modelId="{6C85325C-0001-4A57-9EC4-6235D17D7429}" type="presOf" srcId="{72892D38-CBF8-4A31-A806-F0690B5D1489}" destId="{46536611-C4AA-49DF-BE07-07271D10BEC8}" srcOrd="1" destOrd="0" presId="urn:microsoft.com/office/officeart/2005/8/layout/hierarchy2"/>
    <dgm:cxn modelId="{37B71B5F-EFCD-47EC-B962-906A2B4FC907}" srcId="{C489EB2D-B9F0-492C-BF31-5B27B8320241}" destId="{40095E92-5A50-4FD7-9DC7-54C0ED4E471F}" srcOrd="0" destOrd="0" parTransId="{E0821B91-F679-433E-AE11-4B3AD3F2E0BD}" sibTransId="{2156FAAC-589D-40C7-9CF8-50387B4C194B}"/>
    <dgm:cxn modelId="{AA674961-B5AE-4E99-83AA-4F84AFD38A27}" type="presOf" srcId="{81BCE850-1B31-4811-BCD8-D8B28E4EBFDE}" destId="{DDD8CA60-47A4-40BE-AE65-DEB8E01FA1EF}" srcOrd="0" destOrd="0" presId="urn:microsoft.com/office/officeart/2005/8/layout/hierarchy2"/>
    <dgm:cxn modelId="{78514D62-3018-4C54-BA85-953D47B75321}" srcId="{E170DEDF-F637-4E76-8653-4164A5E3CC76}" destId="{236ED2A6-C6DE-4AAB-9AE5-9BFC333F8501}" srcOrd="0" destOrd="0" parTransId="{716CD9F3-D7E2-4224-AD0C-8BA189C0430F}" sibTransId="{C13C23CD-640E-4801-8D32-2E7A027AD9EC}"/>
    <dgm:cxn modelId="{7D3A6663-06AC-4DD8-946C-5D7E87A2BD69}" type="presOf" srcId="{7CDA0981-FA2F-43B5-BE8C-EA5648283D5E}" destId="{C4B84B1C-5B2F-4246-AF5D-9862D2BA5D35}" srcOrd="1" destOrd="0" presId="urn:microsoft.com/office/officeart/2005/8/layout/hierarchy2"/>
    <dgm:cxn modelId="{A312AE66-35AB-4522-9B3B-0BED773C75D3}" type="presOf" srcId="{0A3364BE-FC07-4F21-96BC-145D80AF3623}" destId="{6260AF23-FDC1-4CEA-866A-6B88F944EE63}" srcOrd="0" destOrd="0" presId="urn:microsoft.com/office/officeart/2005/8/layout/hierarchy2"/>
    <dgm:cxn modelId="{BE552E6B-A62E-47A5-B6BF-54CC880FCA06}" type="presOf" srcId="{09A99F66-F4A3-4BFC-A2C1-BC485CD0F0B5}" destId="{64294F35-AEC2-41F2-BD32-9A3D1647D3F5}" srcOrd="0" destOrd="0" presId="urn:microsoft.com/office/officeart/2005/8/layout/hierarchy2"/>
    <dgm:cxn modelId="{81CB986B-C7C0-4B46-AA74-7308F34E4AFA}" type="presOf" srcId="{3B1EE30C-47F7-4F4E-982F-3EA8EAF5B154}" destId="{66FDE2CC-C1A8-415F-AF7C-634CA0851C0F}" srcOrd="0" destOrd="0" presId="urn:microsoft.com/office/officeart/2005/8/layout/hierarchy2"/>
    <dgm:cxn modelId="{A4D0416F-032C-420A-855E-132CEF34D7DB}" type="presOf" srcId="{79E96F2F-2306-4B5C-AC22-3C69A21D5CA2}" destId="{5C78B9A6-1B08-405F-9B8B-1C1F6B0CD323}" srcOrd="0" destOrd="0" presId="urn:microsoft.com/office/officeart/2005/8/layout/hierarchy2"/>
    <dgm:cxn modelId="{5AE72850-AAB7-4C57-B1F2-4C3590AD31BF}" type="presOf" srcId="{0A3364BE-FC07-4F21-96BC-145D80AF3623}" destId="{F23F1282-E8A9-42CB-AF86-F1D48DADB0D3}" srcOrd="1" destOrd="0" presId="urn:microsoft.com/office/officeart/2005/8/layout/hierarchy2"/>
    <dgm:cxn modelId="{D0B24851-0803-4250-9CAB-5932C1905351}" type="presOf" srcId="{2029CCCE-1F4C-428A-8932-6F8EE10A5DAA}" destId="{068A4749-5D03-4190-ADFC-856DC7C32493}" srcOrd="0" destOrd="0" presId="urn:microsoft.com/office/officeart/2005/8/layout/hierarchy2"/>
    <dgm:cxn modelId="{EF847171-CFF0-44E3-B27A-180550028E61}" srcId="{24AA6174-1931-4669-A8E8-47C7AD017C73}" destId="{2B1D055E-0FA2-4154-9604-85ADAF1D1B7A}" srcOrd="3" destOrd="0" parTransId="{6C766D1B-48DD-4083-A1E1-2B25F79CBCA9}" sibTransId="{3432B6BE-A776-445E-A605-FA219944F9F5}"/>
    <dgm:cxn modelId="{4DB01572-6795-4988-A915-A46650B5B3DA}" srcId="{D6024656-CFC1-494F-9B3C-6D48C50548CC}" destId="{03EE56DE-A6AC-4602-B5A1-9C785AAFC420}" srcOrd="0" destOrd="0" parTransId="{32C19ABB-90C1-4299-854B-C76519CE5084}" sibTransId="{42EF0C8C-F025-464E-AA47-44B6F1583068}"/>
    <dgm:cxn modelId="{CB23C072-13B9-4631-B0E3-9237E7B2305B}" srcId="{236ED2A6-C6DE-4AAB-9AE5-9BFC333F8501}" destId="{24AA6174-1931-4669-A8E8-47C7AD017C73}" srcOrd="1" destOrd="0" parTransId="{3B1EE30C-47F7-4F4E-982F-3EA8EAF5B154}" sibTransId="{6EB1EB84-A2C0-4E02-B9E9-4592A1FC031A}"/>
    <dgm:cxn modelId="{1551D652-3A9C-4C49-9B57-345EFE802A64}" type="presOf" srcId="{B90C8B5F-5EEF-407A-ADC1-15F9BD5EF8F4}" destId="{329FD21A-5770-4601-B68B-2FB06148937A}" srcOrd="0" destOrd="0" presId="urn:microsoft.com/office/officeart/2005/8/layout/hierarchy2"/>
    <dgm:cxn modelId="{C4041254-7690-4BD1-9567-A60AF527FEB9}" type="presOf" srcId="{61238695-2CC9-43A0-A847-24FAA827AEDF}" destId="{1458CA0A-C8F0-49B0-9B22-354C5DA19243}" srcOrd="1" destOrd="0" presId="urn:microsoft.com/office/officeart/2005/8/layout/hierarchy2"/>
    <dgm:cxn modelId="{9BDD3254-B362-4796-BD52-A03661176976}" type="presOf" srcId="{AA17B3AE-4E59-4921-8099-86B94E7ED698}" destId="{5AF71E26-FE5F-4571-A700-E87945598D7B}" srcOrd="1" destOrd="0" presId="urn:microsoft.com/office/officeart/2005/8/layout/hierarchy2"/>
    <dgm:cxn modelId="{A7E67954-40BD-45C4-B94F-EB312C533F38}" type="presOf" srcId="{46753A2A-0662-4E11-A1A1-9A6D076072D3}" destId="{AAD0B584-E43D-4B20-9050-9D0850085C4F}" srcOrd="0" destOrd="0" presId="urn:microsoft.com/office/officeart/2005/8/layout/hierarchy2"/>
    <dgm:cxn modelId="{9B782A55-63EE-4A53-AA80-8D9356FF321F}" type="presOf" srcId="{CD38772C-9D81-44C2-99B9-A1492C9FD469}" destId="{A1DB1586-DD0A-4CC1-98C2-B9685AAF9726}" srcOrd="1" destOrd="0" presId="urn:microsoft.com/office/officeart/2005/8/layout/hierarchy2"/>
    <dgm:cxn modelId="{2E8D3F75-A1C8-46DB-A95C-7289CCA22036}" type="presOf" srcId="{E0D7158E-67D7-4A67-9227-02721D2DA146}" destId="{96ABAD13-D8BE-4D5B-BF3C-E7BC6931C8FA}" srcOrd="0" destOrd="0" presId="urn:microsoft.com/office/officeart/2005/8/layout/hierarchy2"/>
    <dgm:cxn modelId="{A687E656-0431-448B-AF81-D981C2DB5929}" type="presOf" srcId="{39CD6766-2B5E-4D8E-ABA1-B3B25EE689E3}" destId="{54BB266E-AC78-4907-80DA-AA205A74228A}" srcOrd="1" destOrd="0" presId="urn:microsoft.com/office/officeart/2005/8/layout/hierarchy2"/>
    <dgm:cxn modelId="{3E1EF556-4D36-4110-81B8-5AB4997737D7}" type="presOf" srcId="{EF7BE47F-C1D0-4C58-BAA1-A8766EC87F04}" destId="{88E72931-3C73-48FC-ABBC-E416941CD464}" srcOrd="0" destOrd="0" presId="urn:microsoft.com/office/officeart/2005/8/layout/hierarchy2"/>
    <dgm:cxn modelId="{333C3178-8EF5-4C8E-A629-46D572ED7F05}" type="presOf" srcId="{903E8CCA-8E62-4650-8B1C-F02E492E7445}" destId="{F21C9C69-83D9-4198-AA3A-4A792948ED35}" srcOrd="0" destOrd="0" presId="urn:microsoft.com/office/officeart/2005/8/layout/hierarchy2"/>
    <dgm:cxn modelId="{B1D66578-82F8-4CAE-90AB-906D1CB2996F}" type="presOf" srcId="{806C3E0D-CAF5-4BDA-AED4-2FE6C112027C}" destId="{682B2893-B250-4801-9C36-6B4ABE9567BB}" srcOrd="0" destOrd="0" presId="urn:microsoft.com/office/officeart/2005/8/layout/hierarchy2"/>
    <dgm:cxn modelId="{091BE778-E826-4E06-A5CE-B4966AEA0665}" type="presOf" srcId="{D355EEF8-428D-41BF-A161-F837C130A699}" destId="{0969CE22-F7CB-4177-8C67-5F6AF8FE1C85}" srcOrd="1" destOrd="0" presId="urn:microsoft.com/office/officeart/2005/8/layout/hierarchy2"/>
    <dgm:cxn modelId="{2921BF79-0D11-47E2-98BD-94E3C7F03D85}" srcId="{D6024656-CFC1-494F-9B3C-6D48C50548CC}" destId="{7D79F1F5-6206-4622-9E79-07090EC0B950}" srcOrd="1" destOrd="0" parTransId="{B378D1A1-E791-492E-8E25-D6A736CFBC8C}" sibTransId="{589F4D66-67B3-4FE0-AEA2-1CE0F9411E8F}"/>
    <dgm:cxn modelId="{5118F659-4D4E-4410-8297-B79708F3AB6A}" type="presOf" srcId="{52969E13-1B00-402C-83B7-07297354394B}" destId="{6ED6BE51-78F3-446D-8AA8-6D7A43AA69B0}" srcOrd="0" destOrd="0" presId="urn:microsoft.com/office/officeart/2005/8/layout/hierarchy2"/>
    <dgm:cxn modelId="{4762F679-186E-4D76-BAD7-8B8111F93CE5}" type="presOf" srcId="{B18EDA98-79AE-4C1A-BE02-8706920C7048}" destId="{DED8DCEB-C8D2-4E73-981C-85FDBABC8960}" srcOrd="1" destOrd="0" presId="urn:microsoft.com/office/officeart/2005/8/layout/hierarchy2"/>
    <dgm:cxn modelId="{E8645B5A-E82B-44DC-9785-9A63F8A34133}" type="presOf" srcId="{A40D56A2-06F8-4243-B41B-A2C39191EB4D}" destId="{46E58718-38C4-44F0-BFB7-0B58D42EC0A4}" srcOrd="0" destOrd="0" presId="urn:microsoft.com/office/officeart/2005/8/layout/hierarchy2"/>
    <dgm:cxn modelId="{006B0E7C-7E9A-4788-832C-5A6CBA8C01FF}" type="presOf" srcId="{2B1D055E-0FA2-4154-9604-85ADAF1D1B7A}" destId="{19AF4637-7FEA-4690-A4DD-27D799245FE4}" srcOrd="0" destOrd="0" presId="urn:microsoft.com/office/officeart/2005/8/layout/hierarchy2"/>
    <dgm:cxn modelId="{B3825F7D-BDDC-484C-A08B-7B335E2FCAD4}" srcId="{24AA6174-1931-4669-A8E8-47C7AD017C73}" destId="{806C3E0D-CAF5-4BDA-AED4-2FE6C112027C}" srcOrd="1" destOrd="0" parTransId="{D355EEF8-428D-41BF-A161-F837C130A699}" sibTransId="{100CACD0-657E-4E23-9730-7DC62B4267B1}"/>
    <dgm:cxn modelId="{72B9777F-E6CB-45E8-A488-AAD59181CC20}" srcId="{C489EB2D-B9F0-492C-BF31-5B27B8320241}" destId="{81BCE850-1B31-4811-BCD8-D8B28E4EBFDE}" srcOrd="3" destOrd="0" parTransId="{B90C8B5F-5EEF-407A-ADC1-15F9BD5EF8F4}" sibTransId="{3810C1FC-C89E-464C-AB90-E035D4EFF1B9}"/>
    <dgm:cxn modelId="{FDEDA682-5F6B-431D-A021-7EAD8F0FDE9B}" srcId="{6F010CC2-461B-441B-A523-D80765C2839E}" destId="{E0D7158E-67D7-4A67-9227-02721D2DA146}" srcOrd="1" destOrd="0" parTransId="{A40D56A2-06F8-4243-B41B-A2C39191EB4D}" sibTransId="{FFDEA3B8-80F6-4B3B-B51C-73232B758B5C}"/>
    <dgm:cxn modelId="{4459DB84-0199-49B3-85C4-18ACF458A462}" type="presOf" srcId="{B0275BDE-F460-434C-98D1-722E35768086}" destId="{D975C6DF-1F48-4869-9A53-4384ADD3D3AC}" srcOrd="0" destOrd="0" presId="urn:microsoft.com/office/officeart/2005/8/layout/hierarchy2"/>
    <dgm:cxn modelId="{F181ED85-10D6-4D59-8F56-A00E4D829B78}" type="presOf" srcId="{E5CCB424-925B-41F0-BAAA-30BC87F41F1D}" destId="{EF58B2E1-8F4D-43DE-84FC-26255917CC37}" srcOrd="0" destOrd="0" presId="urn:microsoft.com/office/officeart/2005/8/layout/hierarchy2"/>
    <dgm:cxn modelId="{4CD0D986-7492-4973-8655-632942235706}" type="presOf" srcId="{B90C8B5F-5EEF-407A-ADC1-15F9BD5EF8F4}" destId="{9862A583-7B32-49D2-A656-2A50DFAF09E5}" srcOrd="1" destOrd="0" presId="urn:microsoft.com/office/officeart/2005/8/layout/hierarchy2"/>
    <dgm:cxn modelId="{A7C74387-2ED9-41CB-A353-D0BF46CA281F}" type="presOf" srcId="{71EEAFB1-2DC3-49FE-8EAD-20F06355E326}" destId="{86E63DBD-08D8-46A2-B1B1-92FD928429A1}" srcOrd="1" destOrd="0" presId="urn:microsoft.com/office/officeart/2005/8/layout/hierarchy2"/>
    <dgm:cxn modelId="{E0E97888-E436-475E-BA9B-0599E806A125}" type="presOf" srcId="{79782BCC-A4F1-47D9-B04C-8C2309AEE177}" destId="{3C563882-B935-4E9A-B365-F5CAE854D6CA}" srcOrd="0" destOrd="0" presId="urn:microsoft.com/office/officeart/2005/8/layout/hierarchy2"/>
    <dgm:cxn modelId="{7C47E98B-0187-4291-9668-563BA076C8BC}" srcId="{C489EB2D-B9F0-492C-BF31-5B27B8320241}" destId="{4DCB9722-41EB-480C-BF1A-FBE7008926B7}" srcOrd="2" destOrd="0" parTransId="{61238695-2CC9-43A0-A847-24FAA827AEDF}" sibTransId="{2DE0E9E5-F257-4058-B62F-B36B7500A3D4}"/>
    <dgm:cxn modelId="{8F217B8C-9B43-473C-B4E8-DEB9FE03C344}" type="presOf" srcId="{61238695-2CC9-43A0-A847-24FAA827AEDF}" destId="{C43FBB02-08C0-4092-A160-8C980DA8CF8B}" srcOrd="0" destOrd="0" presId="urn:microsoft.com/office/officeart/2005/8/layout/hierarchy2"/>
    <dgm:cxn modelId="{D226628D-429B-4C04-AF6C-5CA9B95E3006}" srcId="{A8257C75-6083-40D6-A8A9-C040DD6E1A8B}" destId="{32594B73-6901-4C99-B9B8-E4F4905C3321}" srcOrd="0" destOrd="0" parTransId="{3EC0ACF3-9387-4BC0-8395-CFBDF6108E0A}" sibTransId="{83D65528-8CC4-4341-BA9D-21B54E747601}"/>
    <dgm:cxn modelId="{028D958E-83AE-4167-B7EC-B7F911249055}" srcId="{C489EB2D-B9F0-492C-BF31-5B27B8320241}" destId="{E5CCB424-925B-41F0-BAAA-30BC87F41F1D}" srcOrd="1" destOrd="0" parTransId="{79E96F2F-2306-4B5C-AC22-3C69A21D5CA2}" sibTransId="{B03BFC60-D4AF-4C53-A8B2-304214861CB3}"/>
    <dgm:cxn modelId="{60A7FC9C-A225-467A-82BF-7D1330A107CF}" type="presOf" srcId="{754A7BCF-9614-4E32-B892-6847425307B5}" destId="{12850AD2-E60D-4B54-A075-1A4EC4076027}" srcOrd="1" destOrd="0" presId="urn:microsoft.com/office/officeart/2005/8/layout/hierarchy2"/>
    <dgm:cxn modelId="{69F6659E-78C2-4FA6-9523-A590BC37C81B}" type="presOf" srcId="{24AA6174-1931-4669-A8E8-47C7AD017C73}" destId="{D8C6C875-7AAB-4767-9FB9-EC0AB1611730}" srcOrd="0" destOrd="0" presId="urn:microsoft.com/office/officeart/2005/8/layout/hierarchy2"/>
    <dgm:cxn modelId="{41CBB79E-C2B3-4F07-9BE1-8DBB80BDE309}" srcId="{236ED2A6-C6DE-4AAB-9AE5-9BFC333F8501}" destId="{DC54C6CB-B5B7-47E9-97E2-3E3BA63801DD}" srcOrd="3" destOrd="0" parTransId="{1BA94AB6-C63B-4681-92E8-78FFDEC51868}" sibTransId="{FB2D647F-9529-4434-B9A1-723CF79DDDDC}"/>
    <dgm:cxn modelId="{8CFB7AA0-5BC9-4D22-8A49-A917C2D6C0D0}" type="presOf" srcId="{E0821B91-F679-433E-AE11-4B3AD3F2E0BD}" destId="{DAF41DF9-1BBD-4AC5-B29B-BA2085B139D0}" srcOrd="1" destOrd="0" presId="urn:microsoft.com/office/officeart/2005/8/layout/hierarchy2"/>
    <dgm:cxn modelId="{D0C1AEA1-90CB-4168-8997-379BA70BF224}" type="presOf" srcId="{23BBFA85-6104-4A97-8F78-E82E909B69BD}" destId="{4A577E75-FF5E-4175-AAC6-273BAD6F6639}" srcOrd="0" destOrd="0" presId="urn:microsoft.com/office/officeart/2005/8/layout/hierarchy2"/>
    <dgm:cxn modelId="{E13159A4-1AA8-4B41-97AE-9F11FB610E69}" type="presOf" srcId="{8CEBBDC0-7D50-4752-9EF3-4DB4BE315394}" destId="{31E2E338-3E72-4B42-A017-3574F553601B}" srcOrd="0" destOrd="0" presId="urn:microsoft.com/office/officeart/2005/8/layout/hierarchy2"/>
    <dgm:cxn modelId="{400767A8-F0E8-4EB9-9253-28C50E3F785C}" type="presOf" srcId="{DC54C6CB-B5B7-47E9-97E2-3E3BA63801DD}" destId="{E58307EC-3C87-4E8B-97C2-994DB3B57AAD}" srcOrd="0" destOrd="0" presId="urn:microsoft.com/office/officeart/2005/8/layout/hierarchy2"/>
    <dgm:cxn modelId="{91FBCBAF-CC29-43B3-B31E-5811C1247BBF}" type="presOf" srcId="{3B1EE30C-47F7-4F4E-982F-3EA8EAF5B154}" destId="{9D81AA89-4AB9-4B34-A411-AD7C0334CAFC}" srcOrd="1" destOrd="0" presId="urn:microsoft.com/office/officeart/2005/8/layout/hierarchy2"/>
    <dgm:cxn modelId="{1A561DB1-FFA3-4217-837D-1D42508519DA}" srcId="{236ED2A6-C6DE-4AAB-9AE5-9BFC333F8501}" destId="{A8257C75-6083-40D6-A8A9-C040DD6E1A8B}" srcOrd="0" destOrd="0" parTransId="{46753A2A-0662-4E11-A1A1-9A6D076072D3}" sibTransId="{3FB0137C-5107-4267-9C3A-3C32C3B3CD22}"/>
    <dgm:cxn modelId="{3A6B4EB1-E340-4EA6-B4F3-B4C0EA97033B}" type="presOf" srcId="{706454AC-2A79-4DD9-935E-6410B0729348}" destId="{AC82A49C-38BE-493D-9692-511154921F4C}" srcOrd="0" destOrd="0" presId="urn:microsoft.com/office/officeart/2005/8/layout/hierarchy2"/>
    <dgm:cxn modelId="{280C9BB7-4707-4058-96AA-B3E7881F52F3}" type="presOf" srcId="{A40D56A2-06F8-4243-B41B-A2C39191EB4D}" destId="{FA0AE99B-1671-40ED-8D09-4264DFFA50D1}" srcOrd="1" destOrd="0" presId="urn:microsoft.com/office/officeart/2005/8/layout/hierarchy2"/>
    <dgm:cxn modelId="{1A1BD1BB-BB48-4A82-9BF0-832CE29B35FF}" type="presOf" srcId="{03EE56DE-A6AC-4602-B5A1-9C785AAFC420}" destId="{22FB63E2-E072-48D6-883F-2ACD9DE422B4}" srcOrd="0" destOrd="0" presId="urn:microsoft.com/office/officeart/2005/8/layout/hierarchy2"/>
    <dgm:cxn modelId="{AC5518BC-FDF6-4582-A793-21B8D0E4E285}" srcId="{45F3BCC3-4660-4C41-8275-98F46E4B624F}" destId="{706454AC-2A79-4DD9-935E-6410B0729348}" srcOrd="1" destOrd="0" parTransId="{754A7BCF-9614-4E32-B892-6847425307B5}" sibTransId="{2E1409A9-EFD3-419E-8403-19589696A9E5}"/>
    <dgm:cxn modelId="{18337EBD-9107-4FED-A4AB-E072A090863F}" type="presOf" srcId="{1BA94AB6-C63B-4681-92E8-78FFDEC51868}" destId="{C5D221F5-E745-4BA5-8BBC-00A5A53793FD}" srcOrd="1" destOrd="0" presId="urn:microsoft.com/office/officeart/2005/8/layout/hierarchy2"/>
    <dgm:cxn modelId="{21759FBD-3806-4B34-82E8-7CB02691C00F}" type="presOf" srcId="{6C766D1B-48DD-4083-A1E1-2B25F79CBCA9}" destId="{D598212C-42EB-4708-B451-AC9CA8D44D3E}" srcOrd="0" destOrd="0" presId="urn:microsoft.com/office/officeart/2005/8/layout/hierarchy2"/>
    <dgm:cxn modelId="{4C7D99BF-615B-4C1A-8116-D346A9F0A461}" type="presOf" srcId="{B18EDA98-79AE-4C1A-BE02-8706920C7048}" destId="{D4D96907-D52F-4669-A156-41C1431D3308}" srcOrd="0" destOrd="0" presId="urn:microsoft.com/office/officeart/2005/8/layout/hierarchy2"/>
    <dgm:cxn modelId="{7E07A4C3-6C57-4C55-AC6E-0AF1119D123C}" type="presOf" srcId="{BBD41DFB-C695-4CBB-A127-65AB4FBB61C4}" destId="{C45CF74E-DC25-467D-998A-93C49E51FB9B}" srcOrd="0" destOrd="0" presId="urn:microsoft.com/office/officeart/2005/8/layout/hierarchy2"/>
    <dgm:cxn modelId="{D993E2C7-10B6-4917-9C11-3523635CD4A6}" type="presOf" srcId="{40095E92-5A50-4FD7-9DC7-54C0ED4E471F}" destId="{ECA161AC-D090-45AC-946D-6C93F5F92BB9}" srcOrd="0" destOrd="0" presId="urn:microsoft.com/office/officeart/2005/8/layout/hierarchy2"/>
    <dgm:cxn modelId="{0756DAC8-4508-42AC-B0B2-CA3F19144354}" srcId="{24AA6174-1931-4669-A8E8-47C7AD017C73}" destId="{8CEBBDC0-7D50-4752-9EF3-4DB4BE315394}" srcOrd="2" destOrd="0" parTransId="{CD38772C-9D81-44C2-99B9-A1492C9FD469}" sibTransId="{2474DB33-713C-4534-8643-3D59E0DE4540}"/>
    <dgm:cxn modelId="{E29616C9-3484-41A3-83DB-4351AE1D9AD1}" srcId="{45F3BCC3-4660-4C41-8275-98F46E4B624F}" destId="{E7891865-AC87-479E-9820-662B8AC51F36}" srcOrd="2" destOrd="0" parTransId="{AA17B3AE-4E59-4921-8099-86B94E7ED698}" sibTransId="{FF7AB592-B249-4D6F-A470-2363371B1239}"/>
    <dgm:cxn modelId="{F1969FCC-FD93-48CC-B197-02E9195C2A5C}" srcId="{DC54C6CB-B5B7-47E9-97E2-3E3BA63801DD}" destId="{219839E2-F122-4BF4-AE5F-C7277279E935}" srcOrd="0" destOrd="0" parTransId="{B18EDA98-79AE-4C1A-BE02-8706920C7048}" sibTransId="{34032269-EAF9-4013-82CB-AF327DE38EE6}"/>
    <dgm:cxn modelId="{D7D5F2CC-E2D8-475F-9491-6B36DEFDD5FD}" srcId="{6F010CC2-461B-441B-A523-D80765C2839E}" destId="{EF7BE47F-C1D0-4C58-BAA1-A8766EC87F04}" srcOrd="0" destOrd="0" parTransId="{72892D38-CBF8-4A31-A806-F0690B5D1489}" sibTransId="{88EE6E5C-9A94-418A-8597-163F726EF06E}"/>
    <dgm:cxn modelId="{19458BCD-D527-4A02-A4D7-0C2876D4A1CC}" type="presOf" srcId="{39CD6766-2B5E-4D8E-ABA1-B3B25EE689E3}" destId="{D7E5716B-AAF3-4200-BD94-EA4C046FEA22}" srcOrd="0" destOrd="0" presId="urn:microsoft.com/office/officeart/2005/8/layout/hierarchy2"/>
    <dgm:cxn modelId="{B9ED37D6-EE8F-49BB-8062-9B14561E3D80}" type="presOf" srcId="{32C19ABB-90C1-4299-854B-C76519CE5084}" destId="{C0FB82FC-86FF-4EB7-9B7F-1AF0F99D44EF}" srcOrd="0" destOrd="0" presId="urn:microsoft.com/office/officeart/2005/8/layout/hierarchy2"/>
    <dgm:cxn modelId="{30FF78D8-E5B3-4349-88A7-ED136C2A75E8}" type="presOf" srcId="{F313103F-91E5-4C39-BB16-3D113D62BF02}" destId="{78BC6D7D-B441-494D-B721-D03D80379CF6}" srcOrd="0" destOrd="0" presId="urn:microsoft.com/office/officeart/2005/8/layout/hierarchy2"/>
    <dgm:cxn modelId="{C5A611DA-DC25-4E79-A214-27016A8750F0}" type="presOf" srcId="{46753A2A-0662-4E11-A1A1-9A6D076072D3}" destId="{D2FE820F-46D7-4482-9F24-57E3F5425A0E}" srcOrd="1" destOrd="0" presId="urn:microsoft.com/office/officeart/2005/8/layout/hierarchy2"/>
    <dgm:cxn modelId="{BC2E9BDA-3604-44B2-A02F-02C5D94DD729}" type="presOf" srcId="{45F3BCC3-4660-4C41-8275-98F46E4B624F}" destId="{E7ECED2F-FDDA-4478-A3C2-7C0A472E6F39}" srcOrd="0" destOrd="0" presId="urn:microsoft.com/office/officeart/2005/8/layout/hierarchy2"/>
    <dgm:cxn modelId="{2B3F6BDC-A668-41A1-B95B-79AA067A1474}" type="presOf" srcId="{4DCB9722-41EB-480C-BF1A-FBE7008926B7}" destId="{26CAE0B6-4B1A-4A07-9248-1F1FAB7F75E5}" srcOrd="0" destOrd="0" presId="urn:microsoft.com/office/officeart/2005/8/layout/hierarchy2"/>
    <dgm:cxn modelId="{6FBB6ADF-4B42-44B8-9497-139488DFB0A3}" srcId="{E7891865-AC87-479E-9820-662B8AC51F36}" destId="{D6024656-CFC1-494F-9B3C-6D48C50548CC}" srcOrd="0" destOrd="0" parTransId="{53561E31-B59C-4469-8218-430DD5312286}" sibTransId="{CC2571B6-2E98-42FE-A6F3-47DFBDDFA3E8}"/>
    <dgm:cxn modelId="{6938A5E1-3C41-4A94-9318-049297C9856B}" type="presOf" srcId="{1BA94AB6-C63B-4681-92E8-78FFDEC51868}" destId="{372436AE-A903-42B2-942B-52DBBB32A021}" srcOrd="0" destOrd="0" presId="urn:microsoft.com/office/officeart/2005/8/layout/hierarchy2"/>
    <dgm:cxn modelId="{0496C5E1-9340-4B43-BC7F-06808254FE3C}" srcId="{DC54C6CB-B5B7-47E9-97E2-3E3BA63801DD}" destId="{52969E13-1B00-402C-83B7-07297354394B}" srcOrd="2" destOrd="0" parTransId="{79782BCC-A4F1-47D9-B04C-8C2309AEE177}" sibTransId="{449E54EE-4E68-4E9B-9095-BF496E9EE6EE}"/>
    <dgm:cxn modelId="{936DFFE1-79AD-4146-89E1-8E984F48E0EE}" srcId="{236ED2A6-C6DE-4AAB-9AE5-9BFC333F8501}" destId="{6F010CC2-461B-441B-A523-D80765C2839E}" srcOrd="2" destOrd="0" parTransId="{B0275BDE-F460-434C-98D1-722E35768086}" sibTransId="{15DFAD44-11D0-40C2-AEB9-8681A95D6DC7}"/>
    <dgm:cxn modelId="{45451CE5-E712-43D1-8E64-FEBDF1E90119}" type="presOf" srcId="{BBD41DFB-C695-4CBB-A127-65AB4FBB61C4}" destId="{E9619A82-21E4-4F32-A005-DBA38A669473}" srcOrd="1" destOrd="0" presId="urn:microsoft.com/office/officeart/2005/8/layout/hierarchy2"/>
    <dgm:cxn modelId="{95E3AFE6-2199-46E3-8416-CCE937BECE6A}" type="presOf" srcId="{2BD4BDC3-06B7-47FA-8E8A-BBDD87CD788B}" destId="{F6429301-95BB-4746-8868-8B70FED04239}" srcOrd="1" destOrd="0" presId="urn:microsoft.com/office/officeart/2005/8/layout/hierarchy2"/>
    <dgm:cxn modelId="{34A5BFE7-02A0-414F-A073-16C1BD10CF59}" type="presOf" srcId="{A8257C75-6083-40D6-A8A9-C040DD6E1A8B}" destId="{CF1010A8-174A-48A5-B042-AF91FB6863D1}" srcOrd="0" destOrd="0" presId="urn:microsoft.com/office/officeart/2005/8/layout/hierarchy2"/>
    <dgm:cxn modelId="{6C66E9E8-BE8D-40D7-B23A-34970D3BCF30}" type="presOf" srcId="{3EC0ACF3-9387-4BC0-8395-CFBDF6108E0A}" destId="{DEB521C1-7AF7-4AE8-8D8F-BDBD4E46BD80}" srcOrd="1" destOrd="0" presId="urn:microsoft.com/office/officeart/2005/8/layout/hierarchy2"/>
    <dgm:cxn modelId="{52F42DEB-4061-410A-9DE1-C439B5332F38}" type="presOf" srcId="{9F81D7FE-7C8E-4DDD-9021-BDBE901382BB}" destId="{38BBCF4D-FE81-4480-A338-C5B3FEE2E537}" srcOrd="0" destOrd="0" presId="urn:microsoft.com/office/officeart/2005/8/layout/hierarchy2"/>
    <dgm:cxn modelId="{747449EC-90F4-4101-8494-1E2A35A5627A}" type="presOf" srcId="{53561E31-B59C-4469-8218-430DD5312286}" destId="{3272B62B-775E-407B-9452-8FC6E882C647}" srcOrd="1" destOrd="0" presId="urn:microsoft.com/office/officeart/2005/8/layout/hierarchy2"/>
    <dgm:cxn modelId="{6383AAED-F561-45AC-985A-E4D981B6C5F8}" type="presOf" srcId="{B378D1A1-E791-492E-8E25-D6A736CFBC8C}" destId="{263BAD38-4E01-4C25-B39F-B5577B7622B2}" srcOrd="0" destOrd="0" presId="urn:microsoft.com/office/officeart/2005/8/layout/hierarchy2"/>
    <dgm:cxn modelId="{9D5F95EF-A35E-4ACC-A790-8C45178B344B}" type="presOf" srcId="{219839E2-F122-4BF4-AE5F-C7277279E935}" destId="{146DA20F-D5BF-47D5-A429-6CEDB3B150A0}" srcOrd="0" destOrd="0" presId="urn:microsoft.com/office/officeart/2005/8/layout/hierarchy2"/>
    <dgm:cxn modelId="{541509F6-3597-46D6-95F8-21B87CA74D74}" type="presOf" srcId="{71EEAFB1-2DC3-49FE-8EAD-20F06355E326}" destId="{B6F20738-6DA3-44A4-B2DA-859D352924AC}" srcOrd="0" destOrd="0" presId="urn:microsoft.com/office/officeart/2005/8/layout/hierarchy2"/>
    <dgm:cxn modelId="{ADED36F6-F871-493F-895F-84B3B569B238}" type="presOf" srcId="{6F010CC2-461B-441B-A523-D80765C2839E}" destId="{71093D83-133A-452A-B966-7989D6C0947F}" srcOrd="0" destOrd="0" presId="urn:microsoft.com/office/officeart/2005/8/layout/hierarchy2"/>
    <dgm:cxn modelId="{2C7C98FB-FDC4-4B82-A9E6-EA702EB2827B}" type="presOf" srcId="{AA17B3AE-4E59-4921-8099-86B94E7ED698}" destId="{49411502-BE44-4E1B-90BA-7DB77AED9718}" srcOrd="0" destOrd="0" presId="urn:microsoft.com/office/officeart/2005/8/layout/hierarchy2"/>
    <dgm:cxn modelId="{ADAD56FC-BB77-41B6-8C1B-07FBCC1E532C}" type="presOf" srcId="{E0821B91-F679-433E-AE11-4B3AD3F2E0BD}" destId="{2281EEB8-E0B7-4CB3-B503-CC9DDB85B38E}" srcOrd="0" destOrd="0" presId="urn:microsoft.com/office/officeart/2005/8/layout/hierarchy2"/>
    <dgm:cxn modelId="{436EFFFC-B8DE-4584-A4D0-75F81F952519}" type="presOf" srcId="{236ED2A6-C6DE-4AAB-9AE5-9BFC333F8501}" destId="{464CEE50-69EF-45B1-855A-76050D10DE58}" srcOrd="0" destOrd="0" presId="urn:microsoft.com/office/officeart/2005/8/layout/hierarchy2"/>
    <dgm:cxn modelId="{A6655BFD-FDAD-43C8-9AEE-210924299A1B}" srcId="{45F3BCC3-4660-4C41-8275-98F46E4B624F}" destId="{9F81D7FE-7C8E-4DDD-9021-BDBE901382BB}" srcOrd="0" destOrd="0" parTransId="{BBD41DFB-C695-4CBB-A127-65AB4FBB61C4}" sibTransId="{D685001B-234B-4FEB-B860-7D0020353BC9}"/>
    <dgm:cxn modelId="{7FEBD64C-1E2B-4566-9272-117562293B40}" type="presParOf" srcId="{2CAC73D1-2D15-4F03-9149-015C547DA445}" destId="{5E59B9F8-1980-4DFF-93DD-225542007FFC}" srcOrd="0" destOrd="0" presId="urn:microsoft.com/office/officeart/2005/8/layout/hierarchy2"/>
    <dgm:cxn modelId="{B18D1450-5A32-456D-B322-25C15655D424}" type="presParOf" srcId="{5E59B9F8-1980-4DFF-93DD-225542007FFC}" destId="{464CEE50-69EF-45B1-855A-76050D10DE58}" srcOrd="0" destOrd="0" presId="urn:microsoft.com/office/officeart/2005/8/layout/hierarchy2"/>
    <dgm:cxn modelId="{BDAD7B69-C2FD-48C1-B50F-D01281190047}" type="presParOf" srcId="{5E59B9F8-1980-4DFF-93DD-225542007FFC}" destId="{1B64D1BA-C05A-4499-BE69-CF73F548E2F9}" srcOrd="1" destOrd="0" presId="urn:microsoft.com/office/officeart/2005/8/layout/hierarchy2"/>
    <dgm:cxn modelId="{D790FE64-0656-47E6-88A8-227804C07CEE}" type="presParOf" srcId="{1B64D1BA-C05A-4499-BE69-CF73F548E2F9}" destId="{AAD0B584-E43D-4B20-9050-9D0850085C4F}" srcOrd="0" destOrd="0" presId="urn:microsoft.com/office/officeart/2005/8/layout/hierarchy2"/>
    <dgm:cxn modelId="{4BC6AA17-7BEF-4A3C-A875-705983820C1A}" type="presParOf" srcId="{AAD0B584-E43D-4B20-9050-9D0850085C4F}" destId="{D2FE820F-46D7-4482-9F24-57E3F5425A0E}" srcOrd="0" destOrd="0" presId="urn:microsoft.com/office/officeart/2005/8/layout/hierarchy2"/>
    <dgm:cxn modelId="{BC6A6BA2-7433-4C04-97B5-99D2681E1043}" type="presParOf" srcId="{1B64D1BA-C05A-4499-BE69-CF73F548E2F9}" destId="{D91B176A-03C9-4546-9684-78412EC22CBC}" srcOrd="1" destOrd="0" presId="urn:microsoft.com/office/officeart/2005/8/layout/hierarchy2"/>
    <dgm:cxn modelId="{486F3B34-03D7-4D6E-9EE7-8DE3A8424C56}" type="presParOf" srcId="{D91B176A-03C9-4546-9684-78412EC22CBC}" destId="{CF1010A8-174A-48A5-B042-AF91FB6863D1}" srcOrd="0" destOrd="0" presId="urn:microsoft.com/office/officeart/2005/8/layout/hierarchy2"/>
    <dgm:cxn modelId="{AFACBD16-A3C1-4BA2-8D22-CABDF570A238}" type="presParOf" srcId="{D91B176A-03C9-4546-9684-78412EC22CBC}" destId="{18C3CB07-049C-4154-AC4A-95BE7ADC578D}" srcOrd="1" destOrd="0" presId="urn:microsoft.com/office/officeart/2005/8/layout/hierarchy2"/>
    <dgm:cxn modelId="{5519D312-3274-4D1F-8959-9AFD5D6F21AA}" type="presParOf" srcId="{18C3CB07-049C-4154-AC4A-95BE7ADC578D}" destId="{5F3D26C0-B130-4EC4-9A76-DC7E9F3EC1A3}" srcOrd="0" destOrd="0" presId="urn:microsoft.com/office/officeart/2005/8/layout/hierarchy2"/>
    <dgm:cxn modelId="{5F962CC9-5E18-4552-88F7-B580A95B96FF}" type="presParOf" srcId="{5F3D26C0-B130-4EC4-9A76-DC7E9F3EC1A3}" destId="{DEB521C1-7AF7-4AE8-8D8F-BDBD4E46BD80}" srcOrd="0" destOrd="0" presId="urn:microsoft.com/office/officeart/2005/8/layout/hierarchy2"/>
    <dgm:cxn modelId="{7108B314-0AF7-48BF-B20E-000C93CC9EA4}" type="presParOf" srcId="{18C3CB07-049C-4154-AC4A-95BE7ADC578D}" destId="{063956C4-5D87-4965-A8D2-CFE1B0EE2463}" srcOrd="1" destOrd="0" presId="urn:microsoft.com/office/officeart/2005/8/layout/hierarchy2"/>
    <dgm:cxn modelId="{F72FB38C-3373-47FB-AB3A-1D27707B6D10}" type="presParOf" srcId="{063956C4-5D87-4965-A8D2-CFE1B0EE2463}" destId="{31BB8760-49C1-40F6-B58D-4F5037F5026A}" srcOrd="0" destOrd="0" presId="urn:microsoft.com/office/officeart/2005/8/layout/hierarchy2"/>
    <dgm:cxn modelId="{B2D19F20-7D6F-4A70-8C35-A7F55172204D}" type="presParOf" srcId="{063956C4-5D87-4965-A8D2-CFE1B0EE2463}" destId="{7A72CA1D-447D-4975-934A-C06729D33B5C}" srcOrd="1" destOrd="0" presId="urn:microsoft.com/office/officeart/2005/8/layout/hierarchy2"/>
    <dgm:cxn modelId="{DAFE0C18-BC67-40A7-A940-A37F4803A53D}" type="presParOf" srcId="{1B64D1BA-C05A-4499-BE69-CF73F548E2F9}" destId="{66FDE2CC-C1A8-415F-AF7C-634CA0851C0F}" srcOrd="2" destOrd="0" presId="urn:microsoft.com/office/officeart/2005/8/layout/hierarchy2"/>
    <dgm:cxn modelId="{7E1A18DA-F5A2-433A-A44B-9600A1514E1E}" type="presParOf" srcId="{66FDE2CC-C1A8-415F-AF7C-634CA0851C0F}" destId="{9D81AA89-4AB9-4B34-A411-AD7C0334CAFC}" srcOrd="0" destOrd="0" presId="urn:microsoft.com/office/officeart/2005/8/layout/hierarchy2"/>
    <dgm:cxn modelId="{758EA447-8143-4402-981F-94B40BC4D43E}" type="presParOf" srcId="{1B64D1BA-C05A-4499-BE69-CF73F548E2F9}" destId="{6D8BA564-6818-4B81-BA20-8138CD28B38F}" srcOrd="3" destOrd="0" presId="urn:microsoft.com/office/officeart/2005/8/layout/hierarchy2"/>
    <dgm:cxn modelId="{F413E719-0E69-4C35-BA8F-4DAD0E2D63FA}" type="presParOf" srcId="{6D8BA564-6818-4B81-BA20-8138CD28B38F}" destId="{D8C6C875-7AAB-4767-9FB9-EC0AB1611730}" srcOrd="0" destOrd="0" presId="urn:microsoft.com/office/officeart/2005/8/layout/hierarchy2"/>
    <dgm:cxn modelId="{A2595266-C82A-4881-86E8-D63D3AED5574}" type="presParOf" srcId="{6D8BA564-6818-4B81-BA20-8138CD28B38F}" destId="{4710E56B-D9D4-45D0-8DA7-4CDD34FA9F09}" srcOrd="1" destOrd="0" presId="urn:microsoft.com/office/officeart/2005/8/layout/hierarchy2"/>
    <dgm:cxn modelId="{8397FB37-3D07-4E0C-A7A0-6E1EBB7096E2}" type="presParOf" srcId="{4710E56B-D9D4-45D0-8DA7-4CDD34FA9F09}" destId="{EACF1505-376F-42E6-870E-D3C358EE8E75}" srcOrd="0" destOrd="0" presId="urn:microsoft.com/office/officeart/2005/8/layout/hierarchy2"/>
    <dgm:cxn modelId="{332372E8-B443-48AC-BE90-46A627CC5986}" type="presParOf" srcId="{EACF1505-376F-42E6-870E-D3C358EE8E75}" destId="{C4B84B1C-5B2F-4246-AF5D-9862D2BA5D35}" srcOrd="0" destOrd="0" presId="urn:microsoft.com/office/officeart/2005/8/layout/hierarchy2"/>
    <dgm:cxn modelId="{BE6A193D-9437-4D04-A622-A7FD88D17B79}" type="presParOf" srcId="{4710E56B-D9D4-45D0-8DA7-4CDD34FA9F09}" destId="{B82DC601-5491-410F-9B0B-2DAB07AC0CDF}" srcOrd="1" destOrd="0" presId="urn:microsoft.com/office/officeart/2005/8/layout/hierarchy2"/>
    <dgm:cxn modelId="{02780A40-607A-44D2-9329-58C7205423F3}" type="presParOf" srcId="{B82DC601-5491-410F-9B0B-2DAB07AC0CDF}" destId="{F21C9C69-83D9-4198-AA3A-4A792948ED35}" srcOrd="0" destOrd="0" presId="urn:microsoft.com/office/officeart/2005/8/layout/hierarchy2"/>
    <dgm:cxn modelId="{2F871062-4B0F-4008-BFAA-C0A8D104C2EF}" type="presParOf" srcId="{B82DC601-5491-410F-9B0B-2DAB07AC0CDF}" destId="{ECF571B8-31FC-47AB-BF6F-3D5F581287E8}" srcOrd="1" destOrd="0" presId="urn:microsoft.com/office/officeart/2005/8/layout/hierarchy2"/>
    <dgm:cxn modelId="{900B8F47-E0AD-415F-A1A3-D46D60A0C295}" type="presParOf" srcId="{4710E56B-D9D4-45D0-8DA7-4CDD34FA9F09}" destId="{712C809E-B891-46E8-BE08-646A33AB34DF}" srcOrd="2" destOrd="0" presId="urn:microsoft.com/office/officeart/2005/8/layout/hierarchy2"/>
    <dgm:cxn modelId="{1290F8F6-7C98-4A11-AA05-A2916D556A04}" type="presParOf" srcId="{712C809E-B891-46E8-BE08-646A33AB34DF}" destId="{0969CE22-F7CB-4177-8C67-5F6AF8FE1C85}" srcOrd="0" destOrd="0" presId="urn:microsoft.com/office/officeart/2005/8/layout/hierarchy2"/>
    <dgm:cxn modelId="{8C3F8F3E-EFBE-4068-87C4-3E4FA3CC5C7C}" type="presParOf" srcId="{4710E56B-D9D4-45D0-8DA7-4CDD34FA9F09}" destId="{E4242134-E309-405B-B1B5-27E270D97CBA}" srcOrd="3" destOrd="0" presId="urn:microsoft.com/office/officeart/2005/8/layout/hierarchy2"/>
    <dgm:cxn modelId="{E2F03614-F44C-46B0-8EFC-1B82A5D9692F}" type="presParOf" srcId="{E4242134-E309-405B-B1B5-27E270D97CBA}" destId="{682B2893-B250-4801-9C36-6B4ABE9567BB}" srcOrd="0" destOrd="0" presId="urn:microsoft.com/office/officeart/2005/8/layout/hierarchy2"/>
    <dgm:cxn modelId="{84157552-F1B5-4A6F-87A6-F943605A008E}" type="presParOf" srcId="{E4242134-E309-405B-B1B5-27E270D97CBA}" destId="{0DDC1D63-2918-4AD8-BDF0-A5FBD006488B}" srcOrd="1" destOrd="0" presId="urn:microsoft.com/office/officeart/2005/8/layout/hierarchy2"/>
    <dgm:cxn modelId="{10309555-81B3-4AD6-815B-987EF7506126}" type="presParOf" srcId="{4710E56B-D9D4-45D0-8DA7-4CDD34FA9F09}" destId="{61092624-DFE9-4D0D-9453-3F731D7AE8EE}" srcOrd="4" destOrd="0" presId="urn:microsoft.com/office/officeart/2005/8/layout/hierarchy2"/>
    <dgm:cxn modelId="{00033EF9-F98F-474A-BEEA-4752326F99E0}" type="presParOf" srcId="{61092624-DFE9-4D0D-9453-3F731D7AE8EE}" destId="{A1DB1586-DD0A-4CC1-98C2-B9685AAF9726}" srcOrd="0" destOrd="0" presId="urn:microsoft.com/office/officeart/2005/8/layout/hierarchy2"/>
    <dgm:cxn modelId="{1DD50135-9BD8-4AA3-AF7C-90B5CD846CE1}" type="presParOf" srcId="{4710E56B-D9D4-45D0-8DA7-4CDD34FA9F09}" destId="{4A185440-5517-4D81-B208-7D68684AB1D1}" srcOrd="5" destOrd="0" presId="urn:microsoft.com/office/officeart/2005/8/layout/hierarchy2"/>
    <dgm:cxn modelId="{AC450D41-5AB9-4E33-BCC7-3AD247167416}" type="presParOf" srcId="{4A185440-5517-4D81-B208-7D68684AB1D1}" destId="{31E2E338-3E72-4B42-A017-3574F553601B}" srcOrd="0" destOrd="0" presId="urn:microsoft.com/office/officeart/2005/8/layout/hierarchy2"/>
    <dgm:cxn modelId="{E87493E9-B803-464D-9B3E-B67C7A26EF6A}" type="presParOf" srcId="{4A185440-5517-4D81-B208-7D68684AB1D1}" destId="{2760BF6C-3460-4423-BB7B-C97DBAFC73BA}" srcOrd="1" destOrd="0" presId="urn:microsoft.com/office/officeart/2005/8/layout/hierarchy2"/>
    <dgm:cxn modelId="{24434967-48EE-4E47-9799-BF4E5751C7AD}" type="presParOf" srcId="{4710E56B-D9D4-45D0-8DA7-4CDD34FA9F09}" destId="{D598212C-42EB-4708-B451-AC9CA8D44D3E}" srcOrd="6" destOrd="0" presId="urn:microsoft.com/office/officeart/2005/8/layout/hierarchy2"/>
    <dgm:cxn modelId="{AB867198-424C-4E94-AA9E-7CD644FCA51C}" type="presParOf" srcId="{D598212C-42EB-4708-B451-AC9CA8D44D3E}" destId="{3A8F84D3-B9BD-4B5E-A91A-1A075C69D4E6}" srcOrd="0" destOrd="0" presId="urn:microsoft.com/office/officeart/2005/8/layout/hierarchy2"/>
    <dgm:cxn modelId="{B11EE116-523B-469D-8A5D-C7077B78E63E}" type="presParOf" srcId="{4710E56B-D9D4-45D0-8DA7-4CDD34FA9F09}" destId="{49CBB78D-CB4C-46B5-9C2A-D9A41751B775}" srcOrd="7" destOrd="0" presId="urn:microsoft.com/office/officeart/2005/8/layout/hierarchy2"/>
    <dgm:cxn modelId="{E1799F89-22DC-4941-9DFE-9C7835D62196}" type="presParOf" srcId="{49CBB78D-CB4C-46B5-9C2A-D9A41751B775}" destId="{19AF4637-7FEA-4690-A4DD-27D799245FE4}" srcOrd="0" destOrd="0" presId="urn:microsoft.com/office/officeart/2005/8/layout/hierarchy2"/>
    <dgm:cxn modelId="{9BD5D206-2D2C-43BB-B53F-404CC14FA117}" type="presParOf" srcId="{49CBB78D-CB4C-46B5-9C2A-D9A41751B775}" destId="{6969DA81-0A56-488B-8096-0AA4C5894855}" srcOrd="1" destOrd="0" presId="urn:microsoft.com/office/officeart/2005/8/layout/hierarchy2"/>
    <dgm:cxn modelId="{413222A3-388A-48ED-B4F7-A785EB6F8010}" type="presParOf" srcId="{1B64D1BA-C05A-4499-BE69-CF73F548E2F9}" destId="{D975C6DF-1F48-4869-9A53-4384ADD3D3AC}" srcOrd="4" destOrd="0" presId="urn:microsoft.com/office/officeart/2005/8/layout/hierarchy2"/>
    <dgm:cxn modelId="{D255086B-6C53-42CB-BD38-8A1E464C70EF}" type="presParOf" srcId="{D975C6DF-1F48-4869-9A53-4384ADD3D3AC}" destId="{5B201AE1-88D7-4797-A05D-15A3C9A9A8B0}" srcOrd="0" destOrd="0" presId="urn:microsoft.com/office/officeart/2005/8/layout/hierarchy2"/>
    <dgm:cxn modelId="{33A9F31C-E506-4535-A51A-990C1730225F}" type="presParOf" srcId="{1B64D1BA-C05A-4499-BE69-CF73F548E2F9}" destId="{A8E6FC06-7A39-4822-9A16-45BCE41332BC}" srcOrd="5" destOrd="0" presId="urn:microsoft.com/office/officeart/2005/8/layout/hierarchy2"/>
    <dgm:cxn modelId="{EB7ED4C5-F1B2-4179-BBF6-F5B819EAD82B}" type="presParOf" srcId="{A8E6FC06-7A39-4822-9A16-45BCE41332BC}" destId="{71093D83-133A-452A-B966-7989D6C0947F}" srcOrd="0" destOrd="0" presId="urn:microsoft.com/office/officeart/2005/8/layout/hierarchy2"/>
    <dgm:cxn modelId="{CBDF7217-72ED-4FC0-847B-B44A64FBA008}" type="presParOf" srcId="{A8E6FC06-7A39-4822-9A16-45BCE41332BC}" destId="{B5E457A6-8721-4DDA-8096-A031E69B8981}" srcOrd="1" destOrd="0" presId="urn:microsoft.com/office/officeart/2005/8/layout/hierarchy2"/>
    <dgm:cxn modelId="{4BD1BBBE-80EA-4F47-A5AF-97A9F10AABD5}" type="presParOf" srcId="{B5E457A6-8721-4DDA-8096-A031E69B8981}" destId="{9FAF14BE-DF74-49A8-AD28-95432D77EAF5}" srcOrd="0" destOrd="0" presId="urn:microsoft.com/office/officeart/2005/8/layout/hierarchy2"/>
    <dgm:cxn modelId="{3B4739C1-33F2-4C24-86CA-73FD0E0B6996}" type="presParOf" srcId="{9FAF14BE-DF74-49A8-AD28-95432D77EAF5}" destId="{46536611-C4AA-49DF-BE07-07271D10BEC8}" srcOrd="0" destOrd="0" presId="urn:microsoft.com/office/officeart/2005/8/layout/hierarchy2"/>
    <dgm:cxn modelId="{BDFAAD46-E202-46C3-AE24-11FBEA6FB5D6}" type="presParOf" srcId="{B5E457A6-8721-4DDA-8096-A031E69B8981}" destId="{988A5806-0253-412D-8BA9-73C43F770F7A}" srcOrd="1" destOrd="0" presId="urn:microsoft.com/office/officeart/2005/8/layout/hierarchy2"/>
    <dgm:cxn modelId="{99BDFFE1-F343-4288-BF06-B6302E7ACAE9}" type="presParOf" srcId="{988A5806-0253-412D-8BA9-73C43F770F7A}" destId="{88E72931-3C73-48FC-ABBC-E416941CD464}" srcOrd="0" destOrd="0" presId="urn:microsoft.com/office/officeart/2005/8/layout/hierarchy2"/>
    <dgm:cxn modelId="{4FEF0467-B860-447F-B30C-E35DF850C79A}" type="presParOf" srcId="{988A5806-0253-412D-8BA9-73C43F770F7A}" destId="{BEFB861C-D890-4CC1-9FFB-9B74EFE5D24F}" srcOrd="1" destOrd="0" presId="urn:microsoft.com/office/officeart/2005/8/layout/hierarchy2"/>
    <dgm:cxn modelId="{E684857B-DFE1-483C-81ED-805D6C2D5EF9}" type="presParOf" srcId="{B5E457A6-8721-4DDA-8096-A031E69B8981}" destId="{46E58718-38C4-44F0-BFB7-0B58D42EC0A4}" srcOrd="2" destOrd="0" presId="urn:microsoft.com/office/officeart/2005/8/layout/hierarchy2"/>
    <dgm:cxn modelId="{5A2A1AFE-AE6F-42DF-A882-A2D6A58DF7F7}" type="presParOf" srcId="{46E58718-38C4-44F0-BFB7-0B58D42EC0A4}" destId="{FA0AE99B-1671-40ED-8D09-4264DFFA50D1}" srcOrd="0" destOrd="0" presId="urn:microsoft.com/office/officeart/2005/8/layout/hierarchy2"/>
    <dgm:cxn modelId="{FAE01B35-FB7B-402D-8E70-D6FEB88D337D}" type="presParOf" srcId="{B5E457A6-8721-4DDA-8096-A031E69B8981}" destId="{E4B4415B-0E1D-415B-BA4B-F4A1D61E9DA0}" srcOrd="3" destOrd="0" presId="urn:microsoft.com/office/officeart/2005/8/layout/hierarchy2"/>
    <dgm:cxn modelId="{95A8A888-CD42-4469-AD50-3B13A8362B1F}" type="presParOf" srcId="{E4B4415B-0E1D-415B-BA4B-F4A1D61E9DA0}" destId="{96ABAD13-D8BE-4D5B-BF3C-E7BC6931C8FA}" srcOrd="0" destOrd="0" presId="urn:microsoft.com/office/officeart/2005/8/layout/hierarchy2"/>
    <dgm:cxn modelId="{60401CC4-6CBF-4C0D-813A-B605E0D21965}" type="presParOf" srcId="{E4B4415B-0E1D-415B-BA4B-F4A1D61E9DA0}" destId="{6A3E6210-EBE8-408F-9745-B2B3E4B9416E}" srcOrd="1" destOrd="0" presId="urn:microsoft.com/office/officeart/2005/8/layout/hierarchy2"/>
    <dgm:cxn modelId="{6F6D3DC3-7743-468C-A280-988D2BB1C058}" type="presParOf" srcId="{B5E457A6-8721-4DDA-8096-A031E69B8981}" destId="{B6F20738-6DA3-44A4-B2DA-859D352924AC}" srcOrd="4" destOrd="0" presId="urn:microsoft.com/office/officeart/2005/8/layout/hierarchy2"/>
    <dgm:cxn modelId="{ADD5FF9D-D249-4297-B7B8-85477D1FA918}" type="presParOf" srcId="{B6F20738-6DA3-44A4-B2DA-859D352924AC}" destId="{86E63DBD-08D8-46A2-B1B1-92FD928429A1}" srcOrd="0" destOrd="0" presId="urn:microsoft.com/office/officeart/2005/8/layout/hierarchy2"/>
    <dgm:cxn modelId="{77107F53-CD11-4641-AD42-F5B88B717610}" type="presParOf" srcId="{B5E457A6-8721-4DDA-8096-A031E69B8981}" destId="{16E8ED8C-78FE-4393-B809-1C59A91F0051}" srcOrd="5" destOrd="0" presId="urn:microsoft.com/office/officeart/2005/8/layout/hierarchy2"/>
    <dgm:cxn modelId="{9FBE16A2-EF46-4B5C-B2CF-13DCF8AE1C1D}" type="presParOf" srcId="{16E8ED8C-78FE-4393-B809-1C59A91F0051}" destId="{78BC6D7D-B441-494D-B721-D03D80379CF6}" srcOrd="0" destOrd="0" presId="urn:microsoft.com/office/officeart/2005/8/layout/hierarchy2"/>
    <dgm:cxn modelId="{E5897917-91DF-4CF1-B4A1-7650DFB2C6C0}" type="presParOf" srcId="{16E8ED8C-78FE-4393-B809-1C59A91F0051}" destId="{E1F48BF8-B223-495B-97B0-A5F76E728189}" srcOrd="1" destOrd="0" presId="urn:microsoft.com/office/officeart/2005/8/layout/hierarchy2"/>
    <dgm:cxn modelId="{AAF32FB8-B09A-4679-9781-1BF7C730A88F}" type="presParOf" srcId="{B5E457A6-8721-4DDA-8096-A031E69B8981}" destId="{6260AF23-FDC1-4CEA-866A-6B88F944EE63}" srcOrd="6" destOrd="0" presId="urn:microsoft.com/office/officeart/2005/8/layout/hierarchy2"/>
    <dgm:cxn modelId="{0CD1D53D-F694-45B7-8283-22F224928BD8}" type="presParOf" srcId="{6260AF23-FDC1-4CEA-866A-6B88F944EE63}" destId="{F23F1282-E8A9-42CB-AF86-F1D48DADB0D3}" srcOrd="0" destOrd="0" presId="urn:microsoft.com/office/officeart/2005/8/layout/hierarchy2"/>
    <dgm:cxn modelId="{AE27DD0A-749B-457B-9E93-3F1663634A85}" type="presParOf" srcId="{B5E457A6-8721-4DDA-8096-A031E69B8981}" destId="{9F0A78BC-1D7F-4340-928B-302832B76E98}" srcOrd="7" destOrd="0" presId="urn:microsoft.com/office/officeart/2005/8/layout/hierarchy2"/>
    <dgm:cxn modelId="{94FB1429-C4CC-4F98-BEC9-DD7C21C1ECCC}" type="presParOf" srcId="{9F0A78BC-1D7F-4340-928B-302832B76E98}" destId="{64294F35-AEC2-41F2-BD32-9A3D1647D3F5}" srcOrd="0" destOrd="0" presId="urn:microsoft.com/office/officeart/2005/8/layout/hierarchy2"/>
    <dgm:cxn modelId="{4E8C3004-8DF7-4CC5-97F2-CC1D2D018526}" type="presParOf" srcId="{9F0A78BC-1D7F-4340-928B-302832B76E98}" destId="{0AF336CC-B749-4F43-832E-944C629B7F01}" srcOrd="1" destOrd="0" presId="urn:microsoft.com/office/officeart/2005/8/layout/hierarchy2"/>
    <dgm:cxn modelId="{CE37A9C8-5F06-4116-85B5-0ED7F07BF1E9}" type="presParOf" srcId="{1B64D1BA-C05A-4499-BE69-CF73F548E2F9}" destId="{372436AE-A903-42B2-942B-52DBBB32A021}" srcOrd="6" destOrd="0" presId="urn:microsoft.com/office/officeart/2005/8/layout/hierarchy2"/>
    <dgm:cxn modelId="{365DB39C-3659-41D3-BC8D-9CE5B8549C2D}" type="presParOf" srcId="{372436AE-A903-42B2-942B-52DBBB32A021}" destId="{C5D221F5-E745-4BA5-8BBC-00A5A53793FD}" srcOrd="0" destOrd="0" presId="urn:microsoft.com/office/officeart/2005/8/layout/hierarchy2"/>
    <dgm:cxn modelId="{349616FC-48E3-4982-A9B4-224788057DB2}" type="presParOf" srcId="{1B64D1BA-C05A-4499-BE69-CF73F548E2F9}" destId="{A55050A1-8CBA-401C-9C7B-B5EC3772FC10}" srcOrd="7" destOrd="0" presId="urn:microsoft.com/office/officeart/2005/8/layout/hierarchy2"/>
    <dgm:cxn modelId="{12DEB438-4B07-4813-AF90-41B92A7CA156}" type="presParOf" srcId="{A55050A1-8CBA-401C-9C7B-B5EC3772FC10}" destId="{E58307EC-3C87-4E8B-97C2-994DB3B57AAD}" srcOrd="0" destOrd="0" presId="urn:microsoft.com/office/officeart/2005/8/layout/hierarchy2"/>
    <dgm:cxn modelId="{742DF314-BEE4-40AF-B629-93D7A061AA15}" type="presParOf" srcId="{A55050A1-8CBA-401C-9C7B-B5EC3772FC10}" destId="{0BFA9263-A88D-4CC8-A62A-767200DEF396}" srcOrd="1" destOrd="0" presId="urn:microsoft.com/office/officeart/2005/8/layout/hierarchy2"/>
    <dgm:cxn modelId="{CDC59B60-2B45-427E-9FB1-18F74A991979}" type="presParOf" srcId="{0BFA9263-A88D-4CC8-A62A-767200DEF396}" destId="{D4D96907-D52F-4669-A156-41C1431D3308}" srcOrd="0" destOrd="0" presId="urn:microsoft.com/office/officeart/2005/8/layout/hierarchy2"/>
    <dgm:cxn modelId="{0FE5FBAE-1680-4ACE-BBB0-67D382238E34}" type="presParOf" srcId="{D4D96907-D52F-4669-A156-41C1431D3308}" destId="{DED8DCEB-C8D2-4E73-981C-85FDBABC8960}" srcOrd="0" destOrd="0" presId="urn:microsoft.com/office/officeart/2005/8/layout/hierarchy2"/>
    <dgm:cxn modelId="{5C5DFC98-D47D-48E5-823B-1EB56EF52DE9}" type="presParOf" srcId="{0BFA9263-A88D-4CC8-A62A-767200DEF396}" destId="{93978D51-FA8C-427D-956B-FD658388CC9A}" srcOrd="1" destOrd="0" presId="urn:microsoft.com/office/officeart/2005/8/layout/hierarchy2"/>
    <dgm:cxn modelId="{5B92CD11-AA25-4C35-BBC8-0C5AC592CDD9}" type="presParOf" srcId="{93978D51-FA8C-427D-956B-FD658388CC9A}" destId="{146DA20F-D5BF-47D5-A429-6CEDB3B150A0}" srcOrd="0" destOrd="0" presId="urn:microsoft.com/office/officeart/2005/8/layout/hierarchy2"/>
    <dgm:cxn modelId="{FEAB337D-F088-4A57-B0EF-598D3338C04D}" type="presParOf" srcId="{93978D51-FA8C-427D-956B-FD658388CC9A}" destId="{A60A8A50-1361-4750-99E5-E59E7C09CB0D}" srcOrd="1" destOrd="0" presId="urn:microsoft.com/office/officeart/2005/8/layout/hierarchy2"/>
    <dgm:cxn modelId="{D5CC4456-1016-4B12-A975-A1CDDEABE8D8}" type="presParOf" srcId="{0BFA9263-A88D-4CC8-A62A-767200DEF396}" destId="{D7E5716B-AAF3-4200-BD94-EA4C046FEA22}" srcOrd="2" destOrd="0" presId="urn:microsoft.com/office/officeart/2005/8/layout/hierarchy2"/>
    <dgm:cxn modelId="{E8366F86-8A65-4A93-ADE8-D3BF5D179BA8}" type="presParOf" srcId="{D7E5716B-AAF3-4200-BD94-EA4C046FEA22}" destId="{54BB266E-AC78-4907-80DA-AA205A74228A}" srcOrd="0" destOrd="0" presId="urn:microsoft.com/office/officeart/2005/8/layout/hierarchy2"/>
    <dgm:cxn modelId="{F7FBA088-661A-47A1-9378-90D38CCF21E5}" type="presParOf" srcId="{0BFA9263-A88D-4CC8-A62A-767200DEF396}" destId="{0E8C66BE-B705-41B7-9137-D8D616950140}" srcOrd="3" destOrd="0" presId="urn:microsoft.com/office/officeart/2005/8/layout/hierarchy2"/>
    <dgm:cxn modelId="{A4641FF0-30AD-4D67-81F2-30DC6CA3A509}" type="presParOf" srcId="{0E8C66BE-B705-41B7-9137-D8D616950140}" destId="{4A577E75-FF5E-4175-AAC6-273BAD6F6639}" srcOrd="0" destOrd="0" presId="urn:microsoft.com/office/officeart/2005/8/layout/hierarchy2"/>
    <dgm:cxn modelId="{CFF57347-B0E0-4FD8-87B9-6092938216E2}" type="presParOf" srcId="{0E8C66BE-B705-41B7-9137-D8D616950140}" destId="{6F397DE6-9DCC-44FF-88B4-C711692F0DDC}" srcOrd="1" destOrd="0" presId="urn:microsoft.com/office/officeart/2005/8/layout/hierarchy2"/>
    <dgm:cxn modelId="{AA4A24AC-2FC4-4E98-BF54-629CB6E4EB68}" type="presParOf" srcId="{0BFA9263-A88D-4CC8-A62A-767200DEF396}" destId="{3C563882-B935-4E9A-B365-F5CAE854D6CA}" srcOrd="4" destOrd="0" presId="urn:microsoft.com/office/officeart/2005/8/layout/hierarchy2"/>
    <dgm:cxn modelId="{9C905A81-ED10-4A65-ABE4-CEF66D5B4326}" type="presParOf" srcId="{3C563882-B935-4E9A-B365-F5CAE854D6CA}" destId="{F7643884-22C5-4995-BC1B-375C0327E9BD}" srcOrd="0" destOrd="0" presId="urn:microsoft.com/office/officeart/2005/8/layout/hierarchy2"/>
    <dgm:cxn modelId="{B11E32EA-15E1-4636-8DBD-DA82C301BE87}" type="presParOf" srcId="{0BFA9263-A88D-4CC8-A62A-767200DEF396}" destId="{CBCD64FE-03A5-4C60-8889-366920D06E1F}" srcOrd="5" destOrd="0" presId="urn:microsoft.com/office/officeart/2005/8/layout/hierarchy2"/>
    <dgm:cxn modelId="{3B4ED34E-7D68-4F62-86EB-8FC4A49CAE66}" type="presParOf" srcId="{CBCD64FE-03A5-4C60-8889-366920D06E1F}" destId="{6ED6BE51-78F3-446D-8AA8-6D7A43AA69B0}" srcOrd="0" destOrd="0" presId="urn:microsoft.com/office/officeart/2005/8/layout/hierarchy2"/>
    <dgm:cxn modelId="{4ED3605F-7584-4317-8508-B72290F62662}" type="presParOf" srcId="{CBCD64FE-03A5-4C60-8889-366920D06E1F}" destId="{01F69155-7B59-45D9-8CCB-995408813E92}" srcOrd="1" destOrd="0" presId="urn:microsoft.com/office/officeart/2005/8/layout/hierarchy2"/>
    <dgm:cxn modelId="{C301AD62-F87C-48E0-9257-86A7F5DFFAAA}" type="presParOf" srcId="{1B64D1BA-C05A-4499-BE69-CF73F548E2F9}" destId="{A8189CA4-637D-416B-A1A0-C04008298E5F}" srcOrd="8" destOrd="0" presId="urn:microsoft.com/office/officeart/2005/8/layout/hierarchy2"/>
    <dgm:cxn modelId="{690E9010-7755-423E-8AF7-BAAA0045FF01}" type="presParOf" srcId="{A8189CA4-637D-416B-A1A0-C04008298E5F}" destId="{F6429301-95BB-4746-8868-8B70FED04239}" srcOrd="0" destOrd="0" presId="urn:microsoft.com/office/officeart/2005/8/layout/hierarchy2"/>
    <dgm:cxn modelId="{6A5A70A2-0186-4C61-9396-D7E5E735F553}" type="presParOf" srcId="{1B64D1BA-C05A-4499-BE69-CF73F548E2F9}" destId="{249D3874-829C-459D-A535-8EA5986E8932}" srcOrd="9" destOrd="0" presId="urn:microsoft.com/office/officeart/2005/8/layout/hierarchy2"/>
    <dgm:cxn modelId="{44973CE9-5669-457D-9A9D-B6E569D1E2B9}" type="presParOf" srcId="{249D3874-829C-459D-A535-8EA5986E8932}" destId="{03623332-D118-40B5-9F5F-9778F7EC6A99}" srcOrd="0" destOrd="0" presId="urn:microsoft.com/office/officeart/2005/8/layout/hierarchy2"/>
    <dgm:cxn modelId="{F05A6E23-18D7-4087-8A2F-416D4F891323}" type="presParOf" srcId="{249D3874-829C-459D-A535-8EA5986E8932}" destId="{A3F2C29C-6263-4EE5-BD9B-CBDDEC97FA33}" srcOrd="1" destOrd="0" presId="urn:microsoft.com/office/officeart/2005/8/layout/hierarchy2"/>
    <dgm:cxn modelId="{45D35E1C-BE75-4EF9-B0BD-3161560E7241}" type="presParOf" srcId="{A3F2C29C-6263-4EE5-BD9B-CBDDEC97FA33}" destId="{2281EEB8-E0B7-4CB3-B503-CC9DDB85B38E}" srcOrd="0" destOrd="0" presId="urn:microsoft.com/office/officeart/2005/8/layout/hierarchy2"/>
    <dgm:cxn modelId="{C509A04B-8844-41E2-9406-3F23349268EF}" type="presParOf" srcId="{2281EEB8-E0B7-4CB3-B503-CC9DDB85B38E}" destId="{DAF41DF9-1BBD-4AC5-B29B-BA2085B139D0}" srcOrd="0" destOrd="0" presId="urn:microsoft.com/office/officeart/2005/8/layout/hierarchy2"/>
    <dgm:cxn modelId="{C086F987-807B-4A38-9947-6FB1FE77A80B}" type="presParOf" srcId="{A3F2C29C-6263-4EE5-BD9B-CBDDEC97FA33}" destId="{02546182-DCDA-4DEE-9D44-A6B74D85FF19}" srcOrd="1" destOrd="0" presId="urn:microsoft.com/office/officeart/2005/8/layout/hierarchy2"/>
    <dgm:cxn modelId="{D5C62AC5-AE89-4592-BEC2-9BCA2D0542E3}" type="presParOf" srcId="{02546182-DCDA-4DEE-9D44-A6B74D85FF19}" destId="{ECA161AC-D090-45AC-946D-6C93F5F92BB9}" srcOrd="0" destOrd="0" presId="urn:microsoft.com/office/officeart/2005/8/layout/hierarchy2"/>
    <dgm:cxn modelId="{4D4C97C1-C42A-45E0-B421-40AEA562A469}" type="presParOf" srcId="{02546182-DCDA-4DEE-9D44-A6B74D85FF19}" destId="{2EBF75C7-B11C-4DF8-A850-CD742E6E5C9B}" srcOrd="1" destOrd="0" presId="urn:microsoft.com/office/officeart/2005/8/layout/hierarchy2"/>
    <dgm:cxn modelId="{E3353222-C469-4617-BDE6-B436A2260B49}" type="presParOf" srcId="{A3F2C29C-6263-4EE5-BD9B-CBDDEC97FA33}" destId="{5C78B9A6-1B08-405F-9B8B-1C1F6B0CD323}" srcOrd="2" destOrd="0" presId="urn:microsoft.com/office/officeart/2005/8/layout/hierarchy2"/>
    <dgm:cxn modelId="{EA485C8E-84AB-41EB-A46A-DBA743B51C5A}" type="presParOf" srcId="{5C78B9A6-1B08-405F-9B8B-1C1F6B0CD323}" destId="{005CA8E5-8435-42D2-998A-7E3A374490F0}" srcOrd="0" destOrd="0" presId="urn:microsoft.com/office/officeart/2005/8/layout/hierarchy2"/>
    <dgm:cxn modelId="{340A09A8-3696-41FE-925A-0F0FB132E9F5}" type="presParOf" srcId="{A3F2C29C-6263-4EE5-BD9B-CBDDEC97FA33}" destId="{083F5E71-4C31-420D-B53F-CE05005A61DB}" srcOrd="3" destOrd="0" presId="urn:microsoft.com/office/officeart/2005/8/layout/hierarchy2"/>
    <dgm:cxn modelId="{2F35E4D4-D2AD-4F12-88FE-709086A3127E}" type="presParOf" srcId="{083F5E71-4C31-420D-B53F-CE05005A61DB}" destId="{EF58B2E1-8F4D-43DE-84FC-26255917CC37}" srcOrd="0" destOrd="0" presId="urn:microsoft.com/office/officeart/2005/8/layout/hierarchy2"/>
    <dgm:cxn modelId="{ADE33B2F-16B0-4422-ACAF-D8F223F1575F}" type="presParOf" srcId="{083F5E71-4C31-420D-B53F-CE05005A61DB}" destId="{681C07E6-018E-44F7-8611-02CB820F4975}" srcOrd="1" destOrd="0" presId="urn:microsoft.com/office/officeart/2005/8/layout/hierarchy2"/>
    <dgm:cxn modelId="{7C651458-E0F1-44A0-9D28-0F44B9013678}" type="presParOf" srcId="{A3F2C29C-6263-4EE5-BD9B-CBDDEC97FA33}" destId="{C43FBB02-08C0-4092-A160-8C980DA8CF8B}" srcOrd="4" destOrd="0" presId="urn:microsoft.com/office/officeart/2005/8/layout/hierarchy2"/>
    <dgm:cxn modelId="{9E77BB83-36D7-415F-9EA6-054E86881C2F}" type="presParOf" srcId="{C43FBB02-08C0-4092-A160-8C980DA8CF8B}" destId="{1458CA0A-C8F0-49B0-9B22-354C5DA19243}" srcOrd="0" destOrd="0" presId="urn:microsoft.com/office/officeart/2005/8/layout/hierarchy2"/>
    <dgm:cxn modelId="{F77E5A5E-B65E-49D3-A7B5-9C2C02F3EB9E}" type="presParOf" srcId="{A3F2C29C-6263-4EE5-BD9B-CBDDEC97FA33}" destId="{39BCE142-99E9-46A7-B86C-5B21A5379841}" srcOrd="5" destOrd="0" presId="urn:microsoft.com/office/officeart/2005/8/layout/hierarchy2"/>
    <dgm:cxn modelId="{868C29C1-6996-49F8-8B76-4F3F16F23CD5}" type="presParOf" srcId="{39BCE142-99E9-46A7-B86C-5B21A5379841}" destId="{26CAE0B6-4B1A-4A07-9248-1F1FAB7F75E5}" srcOrd="0" destOrd="0" presId="urn:microsoft.com/office/officeart/2005/8/layout/hierarchy2"/>
    <dgm:cxn modelId="{BC969CEE-3F73-4F74-882A-886B1CEBA95F}" type="presParOf" srcId="{39BCE142-99E9-46A7-B86C-5B21A5379841}" destId="{BC140C9B-3E00-4A6C-80FE-F89F0AA8BA37}" srcOrd="1" destOrd="0" presId="urn:microsoft.com/office/officeart/2005/8/layout/hierarchy2"/>
    <dgm:cxn modelId="{FEC553DF-8FFB-4CB3-B9DC-82650D36BE2B}" type="presParOf" srcId="{A3F2C29C-6263-4EE5-BD9B-CBDDEC97FA33}" destId="{329FD21A-5770-4601-B68B-2FB06148937A}" srcOrd="6" destOrd="0" presId="urn:microsoft.com/office/officeart/2005/8/layout/hierarchy2"/>
    <dgm:cxn modelId="{452AFB44-BCBA-45E3-A7F5-F73F9C01B8C9}" type="presParOf" srcId="{329FD21A-5770-4601-B68B-2FB06148937A}" destId="{9862A583-7B32-49D2-A656-2A50DFAF09E5}" srcOrd="0" destOrd="0" presId="urn:microsoft.com/office/officeart/2005/8/layout/hierarchy2"/>
    <dgm:cxn modelId="{3DE8D5ED-4DC2-4656-91C4-C439BAFDFA08}" type="presParOf" srcId="{A3F2C29C-6263-4EE5-BD9B-CBDDEC97FA33}" destId="{4FF353E9-0A7F-436B-A267-75A6525EF872}" srcOrd="7" destOrd="0" presId="urn:microsoft.com/office/officeart/2005/8/layout/hierarchy2"/>
    <dgm:cxn modelId="{4A8158EB-39E0-4E8D-800B-FB304F1E7F4F}" type="presParOf" srcId="{4FF353E9-0A7F-436B-A267-75A6525EF872}" destId="{DDD8CA60-47A4-40BE-AE65-DEB8E01FA1EF}" srcOrd="0" destOrd="0" presId="urn:microsoft.com/office/officeart/2005/8/layout/hierarchy2"/>
    <dgm:cxn modelId="{7A747EBE-3289-4242-849E-01BF553F3874}" type="presParOf" srcId="{4FF353E9-0A7F-436B-A267-75A6525EF872}" destId="{3979CD0F-CB8D-4233-BF80-D95115C04EEE}" srcOrd="1" destOrd="0" presId="urn:microsoft.com/office/officeart/2005/8/layout/hierarchy2"/>
    <dgm:cxn modelId="{15F27F5D-8704-4896-B4A0-AF75B380C146}" type="presParOf" srcId="{1B64D1BA-C05A-4499-BE69-CF73F548E2F9}" destId="{068A4749-5D03-4190-ADFC-856DC7C32493}" srcOrd="10" destOrd="0" presId="urn:microsoft.com/office/officeart/2005/8/layout/hierarchy2"/>
    <dgm:cxn modelId="{BDB64C53-3DA6-4F3C-94A9-E48D7524D15C}" type="presParOf" srcId="{068A4749-5D03-4190-ADFC-856DC7C32493}" destId="{9B3B27E7-5857-4806-8B11-D69A6BBCE8B9}" srcOrd="0" destOrd="0" presId="urn:microsoft.com/office/officeart/2005/8/layout/hierarchy2"/>
    <dgm:cxn modelId="{9CF283A9-5153-4D54-BD0F-6F7921404056}" type="presParOf" srcId="{1B64D1BA-C05A-4499-BE69-CF73F548E2F9}" destId="{7316572B-24C0-4F16-B74E-A1D2D37F67FB}" srcOrd="11" destOrd="0" presId="urn:microsoft.com/office/officeart/2005/8/layout/hierarchy2"/>
    <dgm:cxn modelId="{029B891F-CEAD-4EDC-B958-CEFFEBC1FBDA}" type="presParOf" srcId="{7316572B-24C0-4F16-B74E-A1D2D37F67FB}" destId="{E7ECED2F-FDDA-4478-A3C2-7C0A472E6F39}" srcOrd="0" destOrd="0" presId="urn:microsoft.com/office/officeart/2005/8/layout/hierarchy2"/>
    <dgm:cxn modelId="{4390F91A-316D-4080-9A50-C6FBD9A8CF5C}" type="presParOf" srcId="{7316572B-24C0-4F16-B74E-A1D2D37F67FB}" destId="{F5CDAB58-C5B2-4F84-A80F-4073BF7E40B1}" srcOrd="1" destOrd="0" presId="urn:microsoft.com/office/officeart/2005/8/layout/hierarchy2"/>
    <dgm:cxn modelId="{780770E2-3311-4983-BF19-3193EB633502}" type="presParOf" srcId="{F5CDAB58-C5B2-4F84-A80F-4073BF7E40B1}" destId="{C45CF74E-DC25-467D-998A-93C49E51FB9B}" srcOrd="0" destOrd="0" presId="urn:microsoft.com/office/officeart/2005/8/layout/hierarchy2"/>
    <dgm:cxn modelId="{EC4C68B8-6572-4D65-A0A6-7500BDD408FE}" type="presParOf" srcId="{C45CF74E-DC25-467D-998A-93C49E51FB9B}" destId="{E9619A82-21E4-4F32-A005-DBA38A669473}" srcOrd="0" destOrd="0" presId="urn:microsoft.com/office/officeart/2005/8/layout/hierarchy2"/>
    <dgm:cxn modelId="{9F70A9EF-5D58-4CB8-BE01-24F76BE3F8AC}" type="presParOf" srcId="{F5CDAB58-C5B2-4F84-A80F-4073BF7E40B1}" destId="{44E2E80C-00DD-47AC-96CC-E986363DFDE0}" srcOrd="1" destOrd="0" presId="urn:microsoft.com/office/officeart/2005/8/layout/hierarchy2"/>
    <dgm:cxn modelId="{CB3C568B-0F71-4771-B61A-F843FE8D7EA9}" type="presParOf" srcId="{44E2E80C-00DD-47AC-96CC-E986363DFDE0}" destId="{38BBCF4D-FE81-4480-A338-C5B3FEE2E537}" srcOrd="0" destOrd="0" presId="urn:microsoft.com/office/officeart/2005/8/layout/hierarchy2"/>
    <dgm:cxn modelId="{2E8BA9E0-43CA-436B-8193-CE35D665C63B}" type="presParOf" srcId="{44E2E80C-00DD-47AC-96CC-E986363DFDE0}" destId="{29F9F1D3-24A6-4569-9A66-8EB898E8C4B1}" srcOrd="1" destOrd="0" presId="urn:microsoft.com/office/officeart/2005/8/layout/hierarchy2"/>
    <dgm:cxn modelId="{695B1386-74E5-43D4-A02E-7601821103D1}" type="presParOf" srcId="{F5CDAB58-C5B2-4F84-A80F-4073BF7E40B1}" destId="{3CAEF3DD-5341-4636-8FB8-4E1307D36BC1}" srcOrd="2" destOrd="0" presId="urn:microsoft.com/office/officeart/2005/8/layout/hierarchy2"/>
    <dgm:cxn modelId="{AC925E82-D935-4ABA-ABDE-C273BB788401}" type="presParOf" srcId="{3CAEF3DD-5341-4636-8FB8-4E1307D36BC1}" destId="{12850AD2-E60D-4B54-A075-1A4EC4076027}" srcOrd="0" destOrd="0" presId="urn:microsoft.com/office/officeart/2005/8/layout/hierarchy2"/>
    <dgm:cxn modelId="{C2B9590F-F9B2-4F48-881B-6EB53182C4F0}" type="presParOf" srcId="{F5CDAB58-C5B2-4F84-A80F-4073BF7E40B1}" destId="{514E11FE-2DDD-43EE-99FF-0DD2444FCAC1}" srcOrd="3" destOrd="0" presId="urn:microsoft.com/office/officeart/2005/8/layout/hierarchy2"/>
    <dgm:cxn modelId="{83986810-C992-4A72-8146-2D363CEA548C}" type="presParOf" srcId="{514E11FE-2DDD-43EE-99FF-0DD2444FCAC1}" destId="{AC82A49C-38BE-493D-9692-511154921F4C}" srcOrd="0" destOrd="0" presId="urn:microsoft.com/office/officeart/2005/8/layout/hierarchy2"/>
    <dgm:cxn modelId="{85492948-C96D-4DFC-AB13-38AFD3506746}" type="presParOf" srcId="{514E11FE-2DDD-43EE-99FF-0DD2444FCAC1}" destId="{ABE7A626-9681-454E-BEE2-75B6F8C19F65}" srcOrd="1" destOrd="0" presId="urn:microsoft.com/office/officeart/2005/8/layout/hierarchy2"/>
    <dgm:cxn modelId="{1662F71B-27A1-4CF1-A74A-491EB235AE39}" type="presParOf" srcId="{F5CDAB58-C5B2-4F84-A80F-4073BF7E40B1}" destId="{49411502-BE44-4E1B-90BA-7DB77AED9718}" srcOrd="4" destOrd="0" presId="urn:microsoft.com/office/officeart/2005/8/layout/hierarchy2"/>
    <dgm:cxn modelId="{CEDE104B-36BB-4198-9700-BE8C7B6326FA}" type="presParOf" srcId="{49411502-BE44-4E1B-90BA-7DB77AED9718}" destId="{5AF71E26-FE5F-4571-A700-E87945598D7B}" srcOrd="0" destOrd="0" presId="urn:microsoft.com/office/officeart/2005/8/layout/hierarchy2"/>
    <dgm:cxn modelId="{BD8BFF1A-1121-4D3F-B94A-27055779F4DC}" type="presParOf" srcId="{F5CDAB58-C5B2-4F84-A80F-4073BF7E40B1}" destId="{70D688BB-EF0A-46FC-848C-00DF1B95104F}" srcOrd="5" destOrd="0" presId="urn:microsoft.com/office/officeart/2005/8/layout/hierarchy2"/>
    <dgm:cxn modelId="{81770E13-9558-4790-A7AF-51189663EC34}" type="presParOf" srcId="{70D688BB-EF0A-46FC-848C-00DF1B95104F}" destId="{FE177B63-C0CC-441B-A400-C9281704BFD4}" srcOrd="0" destOrd="0" presId="urn:microsoft.com/office/officeart/2005/8/layout/hierarchy2"/>
    <dgm:cxn modelId="{05074F6B-0181-44C4-969B-82CAB1238EB9}" type="presParOf" srcId="{70D688BB-EF0A-46FC-848C-00DF1B95104F}" destId="{1F504616-E094-461A-962B-FD034ECC94A5}" srcOrd="1" destOrd="0" presId="urn:microsoft.com/office/officeart/2005/8/layout/hierarchy2"/>
    <dgm:cxn modelId="{526BE685-CF9B-4278-B719-09DE6026E7AF}" type="presParOf" srcId="{1F504616-E094-461A-962B-FD034ECC94A5}" destId="{FB5E9AAD-1F75-416E-AA8F-D0A6695E6947}" srcOrd="0" destOrd="0" presId="urn:microsoft.com/office/officeart/2005/8/layout/hierarchy2"/>
    <dgm:cxn modelId="{19A90D02-F8F4-4C7D-8395-1D841D3803A3}" type="presParOf" srcId="{FB5E9AAD-1F75-416E-AA8F-D0A6695E6947}" destId="{3272B62B-775E-407B-9452-8FC6E882C647}" srcOrd="0" destOrd="0" presId="urn:microsoft.com/office/officeart/2005/8/layout/hierarchy2"/>
    <dgm:cxn modelId="{8408600A-C169-4F25-B39B-89948C04120E}" type="presParOf" srcId="{1F504616-E094-461A-962B-FD034ECC94A5}" destId="{20EB80AF-FBD7-46E0-9DE8-4E525D823A4C}" srcOrd="1" destOrd="0" presId="urn:microsoft.com/office/officeart/2005/8/layout/hierarchy2"/>
    <dgm:cxn modelId="{3BBC9F36-592F-4ABA-AB77-5C872C3CD140}" type="presParOf" srcId="{20EB80AF-FBD7-46E0-9DE8-4E525D823A4C}" destId="{382F2F9D-5BA5-4374-B098-0C93C6C7B6EF}" srcOrd="0" destOrd="0" presId="urn:microsoft.com/office/officeart/2005/8/layout/hierarchy2"/>
    <dgm:cxn modelId="{8AED572E-1066-4598-89AF-92A759992448}" type="presParOf" srcId="{20EB80AF-FBD7-46E0-9DE8-4E525D823A4C}" destId="{D6149853-DC94-4348-9A9D-74489626426D}" srcOrd="1" destOrd="0" presId="urn:microsoft.com/office/officeart/2005/8/layout/hierarchy2"/>
    <dgm:cxn modelId="{CA0C55BB-ADA0-4304-B398-8131FBA4316D}" type="presParOf" srcId="{D6149853-DC94-4348-9A9D-74489626426D}" destId="{C0FB82FC-86FF-4EB7-9B7F-1AF0F99D44EF}" srcOrd="0" destOrd="0" presId="urn:microsoft.com/office/officeart/2005/8/layout/hierarchy2"/>
    <dgm:cxn modelId="{B22AA242-7E1C-4539-9A44-B597864E77E2}" type="presParOf" srcId="{C0FB82FC-86FF-4EB7-9B7F-1AF0F99D44EF}" destId="{8E451590-EB3B-4778-9D0E-ADBD94B5E685}" srcOrd="0" destOrd="0" presId="urn:microsoft.com/office/officeart/2005/8/layout/hierarchy2"/>
    <dgm:cxn modelId="{76C407FC-DEDB-403E-8F79-F1C036C5B76F}" type="presParOf" srcId="{D6149853-DC94-4348-9A9D-74489626426D}" destId="{255199CF-94AC-47E4-B1B4-D20908A092E6}" srcOrd="1" destOrd="0" presId="urn:microsoft.com/office/officeart/2005/8/layout/hierarchy2"/>
    <dgm:cxn modelId="{FCF5A0DD-4BEF-4BA8-80BC-975AA4A60DB1}" type="presParOf" srcId="{255199CF-94AC-47E4-B1B4-D20908A092E6}" destId="{22FB63E2-E072-48D6-883F-2ACD9DE422B4}" srcOrd="0" destOrd="0" presId="urn:microsoft.com/office/officeart/2005/8/layout/hierarchy2"/>
    <dgm:cxn modelId="{A7AE5909-ED44-4D85-968A-643FF6783B5B}" type="presParOf" srcId="{255199CF-94AC-47E4-B1B4-D20908A092E6}" destId="{BFF52400-446E-4E89-AFC0-73177DEF69F6}" srcOrd="1" destOrd="0" presId="urn:microsoft.com/office/officeart/2005/8/layout/hierarchy2"/>
    <dgm:cxn modelId="{FDEE3B74-A771-4D9C-8B45-C6F1C15E3969}" type="presParOf" srcId="{D6149853-DC94-4348-9A9D-74489626426D}" destId="{263BAD38-4E01-4C25-B39F-B5577B7622B2}" srcOrd="2" destOrd="0" presId="urn:microsoft.com/office/officeart/2005/8/layout/hierarchy2"/>
    <dgm:cxn modelId="{197CE8A5-E4C6-451B-80E6-CFE25AE6F357}" type="presParOf" srcId="{263BAD38-4E01-4C25-B39F-B5577B7622B2}" destId="{5BC71FDF-60BF-4159-8C94-D7993D90CA51}" srcOrd="0" destOrd="0" presId="urn:microsoft.com/office/officeart/2005/8/layout/hierarchy2"/>
    <dgm:cxn modelId="{4CB0F8C9-278F-4368-8ECD-0A1CAC0384C2}" type="presParOf" srcId="{D6149853-DC94-4348-9A9D-74489626426D}" destId="{DDC7AB37-3D5D-4C7D-BD57-B37F3CA5868F}" srcOrd="3" destOrd="0" presId="urn:microsoft.com/office/officeart/2005/8/layout/hierarchy2"/>
    <dgm:cxn modelId="{A51A6A0A-5D35-45AF-8238-7AFCD101B130}" type="presParOf" srcId="{DDC7AB37-3D5D-4C7D-BD57-B37F3CA5868F}" destId="{17E1E535-E996-45EE-BD59-F7EFBEA364BC}" srcOrd="0" destOrd="0" presId="urn:microsoft.com/office/officeart/2005/8/layout/hierarchy2"/>
    <dgm:cxn modelId="{DB4606A3-DCCB-44DD-8A36-839D0F41573C}" type="presParOf" srcId="{DDC7AB37-3D5D-4C7D-BD57-B37F3CA5868F}" destId="{EEDA68DC-21CF-4A25-95D8-60FEBC631BFA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566C2EE-DBA7-4329-BA53-C8419A7A1942}">
      <dsp:nvSpPr>
        <dsp:cNvPr id="0" name=""/>
        <dsp:cNvSpPr/>
      </dsp:nvSpPr>
      <dsp:spPr>
        <a:xfrm>
          <a:off x="324876" y="184593"/>
          <a:ext cx="640852" cy="32042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Southpaw</a:t>
          </a:r>
        </a:p>
      </dsp:txBody>
      <dsp:txXfrm>
        <a:off x="334261" y="193978"/>
        <a:ext cx="622082" cy="301656"/>
      </dsp:txXfrm>
    </dsp:sp>
    <dsp:sp modelId="{B5B8399A-9945-4EDF-AB9A-17B72D394C58}">
      <dsp:nvSpPr>
        <dsp:cNvPr id="0" name=""/>
        <dsp:cNvSpPr/>
      </dsp:nvSpPr>
      <dsp:spPr>
        <a:xfrm rot="19457599">
          <a:off x="936057" y="232469"/>
          <a:ext cx="315685" cy="40429"/>
        </a:xfrm>
        <a:custGeom>
          <a:avLst/>
          <a:gdLst/>
          <a:ahLst/>
          <a:cxnLst/>
          <a:rect l="0" t="0" r="0" b="0"/>
          <a:pathLst>
            <a:path>
              <a:moveTo>
                <a:pt x="0" y="20214"/>
              </a:moveTo>
              <a:lnTo>
                <a:pt x="315685" y="20214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>
        <a:off x="1086007" y="244791"/>
        <a:ext cx="15784" cy="15784"/>
      </dsp:txXfrm>
    </dsp:sp>
    <dsp:sp modelId="{AA39FE68-18B8-4051-9618-639DDFDB98AB}">
      <dsp:nvSpPr>
        <dsp:cNvPr id="0" name=""/>
        <dsp:cNvSpPr/>
      </dsp:nvSpPr>
      <dsp:spPr>
        <a:xfrm>
          <a:off x="1222070" y="348"/>
          <a:ext cx="640852" cy="32042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ON</a:t>
          </a:r>
        </a:p>
      </dsp:txBody>
      <dsp:txXfrm>
        <a:off x="1231455" y="9733"/>
        <a:ext cx="622082" cy="301656"/>
      </dsp:txXfrm>
    </dsp:sp>
    <dsp:sp modelId="{57AB7146-1A19-4241-B1F2-14D222E9C4B0}">
      <dsp:nvSpPr>
        <dsp:cNvPr id="0" name=""/>
        <dsp:cNvSpPr/>
      </dsp:nvSpPr>
      <dsp:spPr>
        <a:xfrm rot="2142401">
          <a:off x="936057" y="416714"/>
          <a:ext cx="315685" cy="40429"/>
        </a:xfrm>
        <a:custGeom>
          <a:avLst/>
          <a:gdLst/>
          <a:ahLst/>
          <a:cxnLst/>
          <a:rect l="0" t="0" r="0" b="0"/>
          <a:pathLst>
            <a:path>
              <a:moveTo>
                <a:pt x="0" y="20214"/>
              </a:moveTo>
              <a:lnTo>
                <a:pt x="315685" y="20214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>
        <a:off x="1086007" y="429037"/>
        <a:ext cx="15784" cy="15784"/>
      </dsp:txXfrm>
    </dsp:sp>
    <dsp:sp modelId="{34B60C4D-4494-42DC-B86C-92190619CB39}">
      <dsp:nvSpPr>
        <dsp:cNvPr id="0" name=""/>
        <dsp:cNvSpPr/>
      </dsp:nvSpPr>
      <dsp:spPr>
        <a:xfrm>
          <a:off x="1222070" y="368838"/>
          <a:ext cx="640852" cy="32042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OFF</a:t>
          </a:r>
        </a:p>
      </dsp:txBody>
      <dsp:txXfrm>
        <a:off x="1231455" y="378223"/>
        <a:ext cx="622082" cy="301656"/>
      </dsp:txXfrm>
    </dsp:sp>
    <dsp:sp modelId="{59ED7280-0E1D-4A4A-9013-EC636674C747}">
      <dsp:nvSpPr>
        <dsp:cNvPr id="0" name=""/>
        <dsp:cNvSpPr/>
      </dsp:nvSpPr>
      <dsp:spPr>
        <a:xfrm>
          <a:off x="324876" y="921574"/>
          <a:ext cx="640852" cy="32042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Footwork</a:t>
          </a:r>
        </a:p>
      </dsp:txBody>
      <dsp:txXfrm>
        <a:off x="334261" y="930959"/>
        <a:ext cx="622082" cy="301656"/>
      </dsp:txXfrm>
    </dsp:sp>
    <dsp:sp modelId="{E9D31FC1-E6CF-44E4-BDFC-4E4A53CE7999}">
      <dsp:nvSpPr>
        <dsp:cNvPr id="0" name=""/>
        <dsp:cNvSpPr/>
      </dsp:nvSpPr>
      <dsp:spPr>
        <a:xfrm rot="19457599">
          <a:off x="936057" y="969449"/>
          <a:ext cx="315685" cy="40429"/>
        </a:xfrm>
        <a:custGeom>
          <a:avLst/>
          <a:gdLst/>
          <a:ahLst/>
          <a:cxnLst/>
          <a:rect l="0" t="0" r="0" b="0"/>
          <a:pathLst>
            <a:path>
              <a:moveTo>
                <a:pt x="0" y="20214"/>
              </a:moveTo>
              <a:lnTo>
                <a:pt x="315685" y="20214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>
        <a:off x="1086007" y="981772"/>
        <a:ext cx="15784" cy="15784"/>
      </dsp:txXfrm>
    </dsp:sp>
    <dsp:sp modelId="{234FB586-3366-4ED7-A60F-7CBBB2E37A63}">
      <dsp:nvSpPr>
        <dsp:cNvPr id="0" name=""/>
        <dsp:cNvSpPr/>
      </dsp:nvSpPr>
      <dsp:spPr>
        <a:xfrm>
          <a:off x="1222070" y="737328"/>
          <a:ext cx="640852" cy="32042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ON</a:t>
          </a:r>
        </a:p>
      </dsp:txBody>
      <dsp:txXfrm>
        <a:off x="1231455" y="746713"/>
        <a:ext cx="622082" cy="301656"/>
      </dsp:txXfrm>
    </dsp:sp>
    <dsp:sp modelId="{7F625BF4-7D9C-4973-A09C-AC43C644C7BE}">
      <dsp:nvSpPr>
        <dsp:cNvPr id="0" name=""/>
        <dsp:cNvSpPr/>
      </dsp:nvSpPr>
      <dsp:spPr>
        <a:xfrm rot="2142401">
          <a:off x="936057" y="1153695"/>
          <a:ext cx="315685" cy="40429"/>
        </a:xfrm>
        <a:custGeom>
          <a:avLst/>
          <a:gdLst/>
          <a:ahLst/>
          <a:cxnLst/>
          <a:rect l="0" t="0" r="0" b="0"/>
          <a:pathLst>
            <a:path>
              <a:moveTo>
                <a:pt x="0" y="20214"/>
              </a:moveTo>
              <a:lnTo>
                <a:pt x="315685" y="20214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>
        <a:off x="1086007" y="1166017"/>
        <a:ext cx="15784" cy="15784"/>
      </dsp:txXfrm>
    </dsp:sp>
    <dsp:sp modelId="{29A68352-3553-494E-9760-7B534C03B3FC}">
      <dsp:nvSpPr>
        <dsp:cNvPr id="0" name=""/>
        <dsp:cNvSpPr/>
      </dsp:nvSpPr>
      <dsp:spPr>
        <a:xfrm>
          <a:off x="1222070" y="1105819"/>
          <a:ext cx="640852" cy="32042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OFF</a:t>
          </a:r>
        </a:p>
      </dsp:txBody>
      <dsp:txXfrm>
        <a:off x="1231455" y="1115204"/>
        <a:ext cx="622082" cy="301656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64CEE50-69EF-45B1-855A-76050D10DE58}">
      <dsp:nvSpPr>
        <dsp:cNvPr id="0" name=""/>
        <dsp:cNvSpPr/>
      </dsp:nvSpPr>
      <dsp:spPr>
        <a:xfrm>
          <a:off x="1470873" y="1848528"/>
          <a:ext cx="711406" cy="34043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50" b="1" kern="1200"/>
            <a:t>Sparring</a:t>
          </a:r>
        </a:p>
      </dsp:txBody>
      <dsp:txXfrm>
        <a:off x="1480844" y="1858499"/>
        <a:ext cx="691464" cy="320495"/>
      </dsp:txXfrm>
    </dsp:sp>
    <dsp:sp modelId="{AAD0B584-E43D-4B20-9050-9D0850085C4F}">
      <dsp:nvSpPr>
        <dsp:cNvPr id="0" name=""/>
        <dsp:cNvSpPr/>
      </dsp:nvSpPr>
      <dsp:spPr>
        <a:xfrm rot="17181359">
          <a:off x="1500187" y="1104192"/>
          <a:ext cx="1898933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1898933" y="3512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2402180" y="1060231"/>
        <a:ext cx="94946" cy="94946"/>
      </dsp:txXfrm>
    </dsp:sp>
    <dsp:sp modelId="{CF1010A8-174A-48A5-B042-AF91FB6863D1}">
      <dsp:nvSpPr>
        <dsp:cNvPr id="0" name=""/>
        <dsp:cNvSpPr/>
      </dsp:nvSpPr>
      <dsp:spPr>
        <a:xfrm>
          <a:off x="2717028" y="5272"/>
          <a:ext cx="865052" cy="3827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Rounds</a:t>
          </a:r>
        </a:p>
      </dsp:txBody>
      <dsp:txXfrm>
        <a:off x="2728239" y="16483"/>
        <a:ext cx="842630" cy="360357"/>
      </dsp:txXfrm>
    </dsp:sp>
    <dsp:sp modelId="{5F3D26C0-B130-4EC4-9A76-DC7E9F3EC1A3}">
      <dsp:nvSpPr>
        <dsp:cNvPr id="0" name=""/>
        <dsp:cNvSpPr/>
      </dsp:nvSpPr>
      <dsp:spPr>
        <a:xfrm rot="21276878">
          <a:off x="3580666" y="163071"/>
          <a:ext cx="640972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40972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85128" y="150559"/>
        <a:ext cx="32048" cy="32048"/>
      </dsp:txXfrm>
    </dsp:sp>
    <dsp:sp modelId="{31BB8760-49C1-40F6-B58D-4F5037F5026A}">
      <dsp:nvSpPr>
        <dsp:cNvPr id="0" name=""/>
        <dsp:cNvSpPr/>
      </dsp:nvSpPr>
      <dsp:spPr>
        <a:xfrm>
          <a:off x="4220223" y="40276"/>
          <a:ext cx="624002" cy="19245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 to 12 (slider)</a:t>
          </a:r>
        </a:p>
      </dsp:txBody>
      <dsp:txXfrm>
        <a:off x="4225860" y="45913"/>
        <a:ext cx="612728" cy="181181"/>
      </dsp:txXfrm>
    </dsp:sp>
    <dsp:sp modelId="{66FDE2CC-C1A8-415F-AF7C-634CA0851C0F}">
      <dsp:nvSpPr>
        <dsp:cNvPr id="0" name=""/>
        <dsp:cNvSpPr/>
      </dsp:nvSpPr>
      <dsp:spPr>
        <a:xfrm rot="17565819">
          <a:off x="1758641" y="1378046"/>
          <a:ext cx="1382024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1382024" y="3512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15103" y="1347007"/>
        <a:ext cx="69101" cy="69101"/>
      </dsp:txXfrm>
    </dsp:sp>
    <dsp:sp modelId="{D8C6C875-7AAB-4767-9FB9-EC0AB1611730}">
      <dsp:nvSpPr>
        <dsp:cNvPr id="0" name=""/>
        <dsp:cNvSpPr/>
      </dsp:nvSpPr>
      <dsp:spPr>
        <a:xfrm>
          <a:off x="2717028" y="552979"/>
          <a:ext cx="865052" cy="3827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Speed</a:t>
          </a:r>
          <a:br>
            <a:rPr lang="en-US" sz="800" kern="1200"/>
          </a:br>
          <a:r>
            <a:rPr lang="en-US" sz="700" kern="1200"/>
            <a:t>arm actuation speed</a:t>
          </a:r>
        </a:p>
      </dsp:txBody>
      <dsp:txXfrm>
        <a:off x="2728239" y="564190"/>
        <a:ext cx="842630" cy="360357"/>
      </dsp:txXfrm>
    </dsp:sp>
    <dsp:sp modelId="{EACF1505-376F-42E6-870E-D3C358EE8E75}">
      <dsp:nvSpPr>
        <dsp:cNvPr id="0" name=""/>
        <dsp:cNvSpPr/>
      </dsp:nvSpPr>
      <dsp:spPr>
        <a:xfrm rot="19742184">
          <a:off x="3529054" y="549415"/>
          <a:ext cx="744195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744195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82547" y="534323"/>
        <a:ext cx="37209" cy="37209"/>
      </dsp:txXfrm>
    </dsp:sp>
    <dsp:sp modelId="{F21C9C69-83D9-4198-AA3A-4A792948ED35}">
      <dsp:nvSpPr>
        <dsp:cNvPr id="0" name=""/>
        <dsp:cNvSpPr/>
      </dsp:nvSpPr>
      <dsp:spPr>
        <a:xfrm>
          <a:off x="4220223" y="265258"/>
          <a:ext cx="624002" cy="19245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25%</a:t>
          </a:r>
        </a:p>
      </dsp:txBody>
      <dsp:txXfrm>
        <a:off x="4225860" y="270895"/>
        <a:ext cx="612728" cy="181181"/>
      </dsp:txXfrm>
    </dsp:sp>
    <dsp:sp modelId="{712C809E-B891-46E8-BE08-646A33AB34DF}">
      <dsp:nvSpPr>
        <dsp:cNvPr id="0" name=""/>
        <dsp:cNvSpPr/>
      </dsp:nvSpPr>
      <dsp:spPr>
        <a:xfrm rot="20736236">
          <a:off x="3571737" y="658957"/>
          <a:ext cx="658830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58830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84681" y="645998"/>
        <a:ext cx="32941" cy="32941"/>
      </dsp:txXfrm>
    </dsp:sp>
    <dsp:sp modelId="{682B2893-B250-4801-9C36-6B4ABE9567BB}">
      <dsp:nvSpPr>
        <dsp:cNvPr id="0" name=""/>
        <dsp:cNvSpPr/>
      </dsp:nvSpPr>
      <dsp:spPr>
        <a:xfrm>
          <a:off x="4220223" y="484341"/>
          <a:ext cx="624002" cy="19245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50%</a:t>
          </a:r>
        </a:p>
      </dsp:txBody>
      <dsp:txXfrm>
        <a:off x="4225860" y="489978"/>
        <a:ext cx="612728" cy="181181"/>
      </dsp:txXfrm>
    </dsp:sp>
    <dsp:sp modelId="{61092624-DFE9-4D0D-9453-3F731D7AE8EE}">
      <dsp:nvSpPr>
        <dsp:cNvPr id="0" name=""/>
        <dsp:cNvSpPr/>
      </dsp:nvSpPr>
      <dsp:spPr>
        <a:xfrm rot="297071">
          <a:off x="3580885" y="768498"/>
          <a:ext cx="640533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40533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85138" y="755997"/>
        <a:ext cx="32026" cy="32026"/>
      </dsp:txXfrm>
    </dsp:sp>
    <dsp:sp modelId="{31E2E338-3E72-4B42-A017-3574F553601B}">
      <dsp:nvSpPr>
        <dsp:cNvPr id="0" name=""/>
        <dsp:cNvSpPr/>
      </dsp:nvSpPr>
      <dsp:spPr>
        <a:xfrm>
          <a:off x="4220223" y="703424"/>
          <a:ext cx="624002" cy="19245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75%</a:t>
          </a:r>
        </a:p>
      </dsp:txBody>
      <dsp:txXfrm>
        <a:off x="4225860" y="709061"/>
        <a:ext cx="612728" cy="181181"/>
      </dsp:txXfrm>
    </dsp:sp>
    <dsp:sp modelId="{D598212C-42EB-4708-B451-AC9CA8D44D3E}">
      <dsp:nvSpPr>
        <dsp:cNvPr id="0" name=""/>
        <dsp:cNvSpPr/>
      </dsp:nvSpPr>
      <dsp:spPr>
        <a:xfrm rot="1395898">
          <a:off x="3553840" y="878040"/>
          <a:ext cx="694624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94624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83786" y="864186"/>
        <a:ext cx="34731" cy="34731"/>
      </dsp:txXfrm>
    </dsp:sp>
    <dsp:sp modelId="{19AF4637-7FEA-4690-A4DD-27D799245FE4}">
      <dsp:nvSpPr>
        <dsp:cNvPr id="0" name=""/>
        <dsp:cNvSpPr/>
      </dsp:nvSpPr>
      <dsp:spPr>
        <a:xfrm>
          <a:off x="4220223" y="922507"/>
          <a:ext cx="624002" cy="19245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100%</a:t>
          </a:r>
        </a:p>
      </dsp:txBody>
      <dsp:txXfrm>
        <a:off x="4225860" y="928144"/>
        <a:ext cx="612728" cy="181181"/>
      </dsp:txXfrm>
    </dsp:sp>
    <dsp:sp modelId="{D975C6DF-1F48-4869-9A53-4384ADD3D3AC}">
      <dsp:nvSpPr>
        <dsp:cNvPr id="0" name=""/>
        <dsp:cNvSpPr/>
      </dsp:nvSpPr>
      <dsp:spPr>
        <a:xfrm rot="19400247">
          <a:off x="2116339" y="1816212"/>
          <a:ext cx="666629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66629" y="3512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32988" y="1803058"/>
        <a:ext cx="33331" cy="33331"/>
      </dsp:txXfrm>
    </dsp:sp>
    <dsp:sp modelId="{71093D83-133A-452A-B966-7989D6C0947F}">
      <dsp:nvSpPr>
        <dsp:cNvPr id="0" name=""/>
        <dsp:cNvSpPr/>
      </dsp:nvSpPr>
      <dsp:spPr>
        <a:xfrm>
          <a:off x="2717028" y="1429311"/>
          <a:ext cx="865052" cy="3827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Timer</a:t>
          </a:r>
          <a:br>
            <a:rPr lang="en-US" sz="800" kern="1200"/>
          </a:br>
          <a:r>
            <a:rPr lang="en-US" sz="700" kern="1200"/>
            <a:t>how long is each round</a:t>
          </a:r>
          <a:endParaRPr lang="en-US" sz="800" kern="1200"/>
        </a:p>
      </dsp:txBody>
      <dsp:txXfrm>
        <a:off x="2728239" y="1440522"/>
        <a:ext cx="842630" cy="360357"/>
      </dsp:txXfrm>
    </dsp:sp>
    <dsp:sp modelId="{9FAF14BE-DF74-49A8-AD28-95432D77EAF5}">
      <dsp:nvSpPr>
        <dsp:cNvPr id="0" name=""/>
        <dsp:cNvSpPr/>
      </dsp:nvSpPr>
      <dsp:spPr>
        <a:xfrm rot="19742184">
          <a:off x="3529054" y="1425747"/>
          <a:ext cx="744195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744195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82547" y="1410654"/>
        <a:ext cx="37209" cy="37209"/>
      </dsp:txXfrm>
    </dsp:sp>
    <dsp:sp modelId="{88E72931-3C73-48FC-ABBC-E416941CD464}">
      <dsp:nvSpPr>
        <dsp:cNvPr id="0" name=""/>
        <dsp:cNvSpPr/>
      </dsp:nvSpPr>
      <dsp:spPr>
        <a:xfrm>
          <a:off x="4220223" y="1141590"/>
          <a:ext cx="624002" cy="19245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1:00</a:t>
          </a:r>
        </a:p>
      </dsp:txBody>
      <dsp:txXfrm>
        <a:off x="4225860" y="1147227"/>
        <a:ext cx="612728" cy="181181"/>
      </dsp:txXfrm>
    </dsp:sp>
    <dsp:sp modelId="{46E58718-38C4-44F0-BFB7-0B58D42EC0A4}">
      <dsp:nvSpPr>
        <dsp:cNvPr id="0" name=""/>
        <dsp:cNvSpPr/>
      </dsp:nvSpPr>
      <dsp:spPr>
        <a:xfrm rot="20736236">
          <a:off x="3571737" y="1535289"/>
          <a:ext cx="658830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58830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84681" y="1522330"/>
        <a:ext cx="32941" cy="32941"/>
      </dsp:txXfrm>
    </dsp:sp>
    <dsp:sp modelId="{96ABAD13-D8BE-4D5B-BF3C-E7BC6931C8FA}">
      <dsp:nvSpPr>
        <dsp:cNvPr id="0" name=""/>
        <dsp:cNvSpPr/>
      </dsp:nvSpPr>
      <dsp:spPr>
        <a:xfrm>
          <a:off x="4220223" y="1360673"/>
          <a:ext cx="624002" cy="19245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1:30</a:t>
          </a:r>
        </a:p>
      </dsp:txBody>
      <dsp:txXfrm>
        <a:off x="4225860" y="1366310"/>
        <a:ext cx="612728" cy="181181"/>
      </dsp:txXfrm>
    </dsp:sp>
    <dsp:sp modelId="{B6F20738-6DA3-44A4-B2DA-859D352924AC}">
      <dsp:nvSpPr>
        <dsp:cNvPr id="0" name=""/>
        <dsp:cNvSpPr/>
      </dsp:nvSpPr>
      <dsp:spPr>
        <a:xfrm rot="297071">
          <a:off x="3580885" y="1644830"/>
          <a:ext cx="640533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40533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85138" y="1632329"/>
        <a:ext cx="32026" cy="32026"/>
      </dsp:txXfrm>
    </dsp:sp>
    <dsp:sp modelId="{78BC6D7D-B441-494D-B721-D03D80379CF6}">
      <dsp:nvSpPr>
        <dsp:cNvPr id="0" name=""/>
        <dsp:cNvSpPr/>
      </dsp:nvSpPr>
      <dsp:spPr>
        <a:xfrm>
          <a:off x="4220223" y="1579756"/>
          <a:ext cx="624002" cy="19245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2:00</a:t>
          </a:r>
        </a:p>
      </dsp:txBody>
      <dsp:txXfrm>
        <a:off x="4225860" y="1585393"/>
        <a:ext cx="612728" cy="181181"/>
      </dsp:txXfrm>
    </dsp:sp>
    <dsp:sp modelId="{6260AF23-FDC1-4CEA-866A-6B88F944EE63}">
      <dsp:nvSpPr>
        <dsp:cNvPr id="0" name=""/>
        <dsp:cNvSpPr/>
      </dsp:nvSpPr>
      <dsp:spPr>
        <a:xfrm rot="1395898">
          <a:off x="3553840" y="1754372"/>
          <a:ext cx="694624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94624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83786" y="1740518"/>
        <a:ext cx="34731" cy="34731"/>
      </dsp:txXfrm>
    </dsp:sp>
    <dsp:sp modelId="{64294F35-AEC2-41F2-BD32-9A3D1647D3F5}">
      <dsp:nvSpPr>
        <dsp:cNvPr id="0" name=""/>
        <dsp:cNvSpPr/>
      </dsp:nvSpPr>
      <dsp:spPr>
        <a:xfrm>
          <a:off x="4220223" y="1798839"/>
          <a:ext cx="624002" cy="19245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3:00</a:t>
          </a:r>
        </a:p>
      </dsp:txBody>
      <dsp:txXfrm>
        <a:off x="4225860" y="1804476"/>
        <a:ext cx="612728" cy="181181"/>
      </dsp:txXfrm>
    </dsp:sp>
    <dsp:sp modelId="{372436AE-A903-42B2-942B-52DBBB32A021}">
      <dsp:nvSpPr>
        <dsp:cNvPr id="0" name=""/>
        <dsp:cNvSpPr/>
      </dsp:nvSpPr>
      <dsp:spPr>
        <a:xfrm rot="1746667">
          <a:off x="2143621" y="2164121"/>
          <a:ext cx="612065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12065" y="3512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34352" y="2152331"/>
        <a:ext cx="30603" cy="30603"/>
      </dsp:txXfrm>
    </dsp:sp>
    <dsp:sp modelId="{E58307EC-3C87-4E8B-97C2-994DB3B57AAD}">
      <dsp:nvSpPr>
        <dsp:cNvPr id="0" name=""/>
        <dsp:cNvSpPr/>
      </dsp:nvSpPr>
      <dsp:spPr>
        <a:xfrm>
          <a:off x="2717028" y="2125130"/>
          <a:ext cx="865052" cy="3827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Level</a:t>
          </a:r>
          <a:br>
            <a:rPr lang="en-US" sz="800" kern="1200"/>
          </a:br>
          <a:r>
            <a:rPr lang="en-US" sz="700" kern="1200"/>
            <a:t>difficulty</a:t>
          </a:r>
          <a:endParaRPr lang="en-US" sz="800" kern="1200"/>
        </a:p>
      </dsp:txBody>
      <dsp:txXfrm>
        <a:off x="2728239" y="2136341"/>
        <a:ext cx="842630" cy="360357"/>
      </dsp:txXfrm>
    </dsp:sp>
    <dsp:sp modelId="{D4D96907-D52F-4669-A156-41C1431D3308}">
      <dsp:nvSpPr>
        <dsp:cNvPr id="0" name=""/>
        <dsp:cNvSpPr/>
      </dsp:nvSpPr>
      <dsp:spPr>
        <a:xfrm rot="19769332">
          <a:off x="3558657" y="2227123"/>
          <a:ext cx="338322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338322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719360" y="2222177"/>
        <a:ext cx="16916" cy="16916"/>
      </dsp:txXfrm>
    </dsp:sp>
    <dsp:sp modelId="{146DA20F-D5BF-47D5-A429-6CEDB3B150A0}">
      <dsp:nvSpPr>
        <dsp:cNvPr id="0" name=""/>
        <dsp:cNvSpPr/>
      </dsp:nvSpPr>
      <dsp:spPr>
        <a:xfrm>
          <a:off x="3873555" y="2072181"/>
          <a:ext cx="1829580" cy="14514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1: Fixed intervals of 2 random punches</a:t>
          </a:r>
        </a:p>
      </dsp:txBody>
      <dsp:txXfrm>
        <a:off x="3877806" y="2076432"/>
        <a:ext cx="1821078" cy="136639"/>
      </dsp:txXfrm>
    </dsp:sp>
    <dsp:sp modelId="{D7E5716B-AAF3-4200-BD94-EA4C046FEA22}">
      <dsp:nvSpPr>
        <dsp:cNvPr id="0" name=""/>
        <dsp:cNvSpPr/>
      </dsp:nvSpPr>
      <dsp:spPr>
        <a:xfrm>
          <a:off x="3582080" y="2313007"/>
          <a:ext cx="291475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291475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720531" y="2309233"/>
        <a:ext cx="14573" cy="14573"/>
      </dsp:txXfrm>
    </dsp:sp>
    <dsp:sp modelId="{4A577E75-FF5E-4175-AAC6-273BAD6F6639}">
      <dsp:nvSpPr>
        <dsp:cNvPr id="0" name=""/>
        <dsp:cNvSpPr/>
      </dsp:nvSpPr>
      <dsp:spPr>
        <a:xfrm>
          <a:off x="3873555" y="2243949"/>
          <a:ext cx="1829580" cy="14514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2: Fixed intervals of 2-4 random punches</a:t>
          </a:r>
        </a:p>
      </dsp:txBody>
      <dsp:txXfrm>
        <a:off x="3877806" y="2248200"/>
        <a:ext cx="1821078" cy="136639"/>
      </dsp:txXfrm>
    </dsp:sp>
    <dsp:sp modelId="{3C563882-B935-4E9A-B365-F5CAE854D6CA}">
      <dsp:nvSpPr>
        <dsp:cNvPr id="0" name=""/>
        <dsp:cNvSpPr/>
      </dsp:nvSpPr>
      <dsp:spPr>
        <a:xfrm rot="1830668">
          <a:off x="3558657" y="2398891"/>
          <a:ext cx="338322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338322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719360" y="2393945"/>
        <a:ext cx="16916" cy="16916"/>
      </dsp:txXfrm>
    </dsp:sp>
    <dsp:sp modelId="{6ED6BE51-78F3-446D-8AA8-6D7A43AA69B0}">
      <dsp:nvSpPr>
        <dsp:cNvPr id="0" name=""/>
        <dsp:cNvSpPr/>
      </dsp:nvSpPr>
      <dsp:spPr>
        <a:xfrm>
          <a:off x="3873555" y="2415717"/>
          <a:ext cx="1829580" cy="14514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3: Fixed intervals of 2-6 random punches</a:t>
          </a:r>
        </a:p>
      </dsp:txBody>
      <dsp:txXfrm>
        <a:off x="3877806" y="2419968"/>
        <a:ext cx="1821078" cy="136639"/>
      </dsp:txXfrm>
    </dsp:sp>
    <dsp:sp modelId="{A8189CA4-637D-416B-A1A0-C04008298E5F}">
      <dsp:nvSpPr>
        <dsp:cNvPr id="0" name=""/>
        <dsp:cNvSpPr/>
      </dsp:nvSpPr>
      <dsp:spPr>
        <a:xfrm rot="3436379">
          <a:off x="1955100" y="2431280"/>
          <a:ext cx="989107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989107" y="3512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424926" y="2410065"/>
        <a:ext cx="49455" cy="49455"/>
      </dsp:txXfrm>
    </dsp:sp>
    <dsp:sp modelId="{03623332-D118-40B5-9F5F-9778F7EC6A99}">
      <dsp:nvSpPr>
        <dsp:cNvPr id="0" name=""/>
        <dsp:cNvSpPr/>
      </dsp:nvSpPr>
      <dsp:spPr>
        <a:xfrm>
          <a:off x="2717028" y="2538249"/>
          <a:ext cx="865052" cy="625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Rest</a:t>
          </a:r>
          <a:br>
            <a:rPr lang="en-US" sz="800" kern="1200"/>
          </a:br>
          <a:r>
            <a:rPr lang="en-US" sz="700" kern="1200"/>
            <a:t>rest duration between each round when rd&gt;1</a:t>
          </a:r>
          <a:endParaRPr lang="en-US" sz="800" kern="1200"/>
        </a:p>
      </dsp:txBody>
      <dsp:txXfrm>
        <a:off x="2735339" y="2556560"/>
        <a:ext cx="828430" cy="588557"/>
      </dsp:txXfrm>
    </dsp:sp>
    <dsp:sp modelId="{2281EEB8-E0B7-4CB3-B503-CC9DDB85B38E}">
      <dsp:nvSpPr>
        <dsp:cNvPr id="0" name=""/>
        <dsp:cNvSpPr/>
      </dsp:nvSpPr>
      <dsp:spPr>
        <a:xfrm rot="20669960">
          <a:off x="3570545" y="2762571"/>
          <a:ext cx="634277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34277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71827" y="2750227"/>
        <a:ext cx="31713" cy="31713"/>
      </dsp:txXfrm>
    </dsp:sp>
    <dsp:sp modelId="{ECA161AC-D090-45AC-946D-6C93F5F92BB9}">
      <dsp:nvSpPr>
        <dsp:cNvPr id="0" name=""/>
        <dsp:cNvSpPr/>
      </dsp:nvSpPr>
      <dsp:spPr>
        <a:xfrm>
          <a:off x="4193287" y="2625475"/>
          <a:ext cx="708839" cy="11170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0:10</a:t>
          </a:r>
        </a:p>
      </dsp:txBody>
      <dsp:txXfrm>
        <a:off x="4196559" y="2628747"/>
        <a:ext cx="702295" cy="105162"/>
      </dsp:txXfrm>
    </dsp:sp>
    <dsp:sp modelId="{5C78B9A6-1B08-405F-9B8B-1C1F6B0CD323}">
      <dsp:nvSpPr>
        <dsp:cNvPr id="0" name=""/>
        <dsp:cNvSpPr/>
      </dsp:nvSpPr>
      <dsp:spPr>
        <a:xfrm rot="21424797">
          <a:off x="3581683" y="2831738"/>
          <a:ext cx="612001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12001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72384" y="2819950"/>
        <a:ext cx="30600" cy="30600"/>
      </dsp:txXfrm>
    </dsp:sp>
    <dsp:sp modelId="{EF58B2E1-8F4D-43DE-84FC-26255917CC37}">
      <dsp:nvSpPr>
        <dsp:cNvPr id="0" name=""/>
        <dsp:cNvSpPr/>
      </dsp:nvSpPr>
      <dsp:spPr>
        <a:xfrm>
          <a:off x="4193287" y="2763809"/>
          <a:ext cx="708839" cy="11170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0:30</a:t>
          </a:r>
        </a:p>
      </dsp:txBody>
      <dsp:txXfrm>
        <a:off x="4196559" y="2767081"/>
        <a:ext cx="702295" cy="105162"/>
      </dsp:txXfrm>
    </dsp:sp>
    <dsp:sp modelId="{C43FBB02-08C0-4092-A160-8C980DA8CF8B}">
      <dsp:nvSpPr>
        <dsp:cNvPr id="0" name=""/>
        <dsp:cNvSpPr/>
      </dsp:nvSpPr>
      <dsp:spPr>
        <a:xfrm rot="596641">
          <a:off x="3577419" y="2900905"/>
          <a:ext cx="620529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20529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72171" y="2888904"/>
        <a:ext cx="31026" cy="31026"/>
      </dsp:txXfrm>
    </dsp:sp>
    <dsp:sp modelId="{26CAE0B6-4B1A-4A07-9248-1F1FAB7F75E5}">
      <dsp:nvSpPr>
        <dsp:cNvPr id="0" name=""/>
        <dsp:cNvSpPr/>
      </dsp:nvSpPr>
      <dsp:spPr>
        <a:xfrm>
          <a:off x="4193287" y="2902142"/>
          <a:ext cx="708839" cy="11170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0:45</a:t>
          </a:r>
        </a:p>
      </dsp:txBody>
      <dsp:txXfrm>
        <a:off x="4196559" y="2905414"/>
        <a:ext cx="702295" cy="105162"/>
      </dsp:txXfrm>
    </dsp:sp>
    <dsp:sp modelId="{329FD21A-5770-4601-B68B-2FB06148937A}">
      <dsp:nvSpPr>
        <dsp:cNvPr id="0" name=""/>
        <dsp:cNvSpPr/>
      </dsp:nvSpPr>
      <dsp:spPr>
        <a:xfrm rot="1312966">
          <a:off x="3558351" y="2970071"/>
          <a:ext cx="658664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58664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71217" y="2957117"/>
        <a:ext cx="32933" cy="32933"/>
      </dsp:txXfrm>
    </dsp:sp>
    <dsp:sp modelId="{DDD8CA60-47A4-40BE-AE65-DEB8E01FA1EF}">
      <dsp:nvSpPr>
        <dsp:cNvPr id="0" name=""/>
        <dsp:cNvSpPr/>
      </dsp:nvSpPr>
      <dsp:spPr>
        <a:xfrm>
          <a:off x="4193287" y="3040476"/>
          <a:ext cx="708839" cy="11170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1:00</a:t>
          </a:r>
        </a:p>
      </dsp:txBody>
      <dsp:txXfrm>
        <a:off x="4196559" y="3043748"/>
        <a:ext cx="702295" cy="105162"/>
      </dsp:txXfrm>
    </dsp:sp>
    <dsp:sp modelId="{068A4749-5D03-4190-ADFC-856DC7C32493}">
      <dsp:nvSpPr>
        <dsp:cNvPr id="0" name=""/>
        <dsp:cNvSpPr/>
      </dsp:nvSpPr>
      <dsp:spPr>
        <a:xfrm rot="4418641">
          <a:off x="1500187" y="2926277"/>
          <a:ext cx="1898933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1898933" y="3512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2402180" y="2882316"/>
        <a:ext cx="94946" cy="94946"/>
      </dsp:txXfrm>
    </dsp:sp>
    <dsp:sp modelId="{E7ECED2F-FDDA-4478-A3C2-7C0A472E6F39}">
      <dsp:nvSpPr>
        <dsp:cNvPr id="0" name=""/>
        <dsp:cNvSpPr/>
      </dsp:nvSpPr>
      <dsp:spPr>
        <a:xfrm>
          <a:off x="2717028" y="3649441"/>
          <a:ext cx="865052" cy="3827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Counter</a:t>
          </a:r>
        </a:p>
      </dsp:txBody>
      <dsp:txXfrm>
        <a:off x="2728239" y="3660652"/>
        <a:ext cx="842630" cy="360357"/>
      </dsp:txXfrm>
    </dsp:sp>
    <dsp:sp modelId="{C45CF74E-DC25-467D-998A-93C49E51FB9B}">
      <dsp:nvSpPr>
        <dsp:cNvPr id="0" name=""/>
        <dsp:cNvSpPr/>
      </dsp:nvSpPr>
      <dsp:spPr>
        <a:xfrm rot="19806859">
          <a:off x="3536049" y="3664838"/>
          <a:ext cx="692317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692317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64900" y="3651042"/>
        <a:ext cx="34615" cy="34615"/>
      </dsp:txXfrm>
    </dsp:sp>
    <dsp:sp modelId="{38BBCF4D-FE81-4480-A338-C5B3FEE2E537}">
      <dsp:nvSpPr>
        <dsp:cNvPr id="0" name=""/>
        <dsp:cNvSpPr/>
      </dsp:nvSpPr>
      <dsp:spPr>
        <a:xfrm>
          <a:off x="4182335" y="3349738"/>
          <a:ext cx="782550" cy="29226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ON</a:t>
          </a:r>
        </a:p>
      </dsp:txBody>
      <dsp:txXfrm>
        <a:off x="4190895" y="3358298"/>
        <a:ext cx="765430" cy="275141"/>
      </dsp:txXfrm>
    </dsp:sp>
    <dsp:sp modelId="{BD7D3D1B-FA3D-406F-BD0F-59257E142AF6}">
      <dsp:nvSpPr>
        <dsp:cNvPr id="0" name=""/>
        <dsp:cNvSpPr/>
      </dsp:nvSpPr>
      <dsp:spPr>
        <a:xfrm rot="18144258">
          <a:off x="4892555" y="3360777"/>
          <a:ext cx="311694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311694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040610" y="3356497"/>
        <a:ext cx="15584" cy="15584"/>
      </dsp:txXfrm>
    </dsp:sp>
    <dsp:sp modelId="{33463D87-F9C6-40A1-B834-A75058FD846F}">
      <dsp:nvSpPr>
        <dsp:cNvPr id="0" name=""/>
        <dsp:cNvSpPr/>
      </dsp:nvSpPr>
      <dsp:spPr>
        <a:xfrm>
          <a:off x="5131920" y="3126911"/>
          <a:ext cx="2208343" cy="21159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Robot in State: </a:t>
          </a:r>
          <a:r>
            <a:rPr lang="en-US" sz="700" b="1" kern="1200"/>
            <a:t>Attack + Counter</a:t>
          </a:r>
        </a:p>
      </dsp:txBody>
      <dsp:txXfrm>
        <a:off x="5138117" y="3133108"/>
        <a:ext cx="2195949" cy="199203"/>
      </dsp:txXfrm>
    </dsp:sp>
    <dsp:sp modelId="{E00BBAC6-5BB8-4D46-A8A3-955ED5281D75}">
      <dsp:nvSpPr>
        <dsp:cNvPr id="0" name=""/>
        <dsp:cNvSpPr/>
      </dsp:nvSpPr>
      <dsp:spPr>
        <a:xfrm rot="21090563">
          <a:off x="4963960" y="3479889"/>
          <a:ext cx="168884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168884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044180" y="3479179"/>
        <a:ext cx="8444" cy="8444"/>
      </dsp:txXfrm>
    </dsp:sp>
    <dsp:sp modelId="{26D57478-A37B-439F-93F1-6CB5A7FF6E1F}">
      <dsp:nvSpPr>
        <dsp:cNvPr id="0" name=""/>
        <dsp:cNvSpPr/>
      </dsp:nvSpPr>
      <dsp:spPr>
        <a:xfrm>
          <a:off x="5131920" y="3365135"/>
          <a:ext cx="2208343" cy="21159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b="1" kern="1200"/>
            <a:t>Sense distance + direction &amp; punch type</a:t>
          </a:r>
        </a:p>
      </dsp:txBody>
      <dsp:txXfrm>
        <a:off x="5138117" y="3371332"/>
        <a:ext cx="2195949" cy="199203"/>
      </dsp:txXfrm>
    </dsp:sp>
    <dsp:sp modelId="{A91AF713-0952-4D64-8E0D-B037557AD755}">
      <dsp:nvSpPr>
        <dsp:cNvPr id="0" name=""/>
        <dsp:cNvSpPr/>
      </dsp:nvSpPr>
      <dsp:spPr>
        <a:xfrm rot="3116056">
          <a:off x="4912947" y="3599001"/>
          <a:ext cx="270910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270910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041630" y="3595741"/>
        <a:ext cx="13545" cy="13545"/>
      </dsp:txXfrm>
    </dsp:sp>
    <dsp:sp modelId="{1666634B-4997-4AEE-BDC2-34804E4C6F43}">
      <dsp:nvSpPr>
        <dsp:cNvPr id="0" name=""/>
        <dsp:cNvSpPr/>
      </dsp:nvSpPr>
      <dsp:spPr>
        <a:xfrm>
          <a:off x="5131920" y="3603360"/>
          <a:ext cx="2208343" cy="21159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b="0" kern="1200"/>
            <a:t>Counter = Based on Decision Tree:</a:t>
          </a:r>
        </a:p>
      </dsp:txBody>
      <dsp:txXfrm>
        <a:off x="5138117" y="3609557"/>
        <a:ext cx="2195949" cy="199203"/>
      </dsp:txXfrm>
    </dsp:sp>
    <dsp:sp modelId="{23762319-ACE1-4EDC-A213-3B26F73BB0A6}">
      <dsp:nvSpPr>
        <dsp:cNvPr id="0" name=""/>
        <dsp:cNvSpPr/>
      </dsp:nvSpPr>
      <dsp:spPr>
        <a:xfrm rot="18768866">
          <a:off x="7306791" y="3629005"/>
          <a:ext cx="208955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208955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7406045" y="3627294"/>
        <a:ext cx="10447" cy="10447"/>
      </dsp:txXfrm>
    </dsp:sp>
    <dsp:sp modelId="{55D4E1F5-F892-497E-9DB7-B9FA2D406172}">
      <dsp:nvSpPr>
        <dsp:cNvPr id="0" name=""/>
        <dsp:cNvSpPr/>
      </dsp:nvSpPr>
      <dsp:spPr>
        <a:xfrm>
          <a:off x="7482274" y="3413810"/>
          <a:ext cx="922542" cy="28413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b="0" kern="1200"/>
            <a:t>50% Counter: Anticipates + React</a:t>
          </a:r>
        </a:p>
      </dsp:txBody>
      <dsp:txXfrm>
        <a:off x="7490596" y="3422132"/>
        <a:ext cx="905898" cy="267490"/>
      </dsp:txXfrm>
    </dsp:sp>
    <dsp:sp modelId="{C86F498D-545A-41DC-B968-C70F0BA49E5A}">
      <dsp:nvSpPr>
        <dsp:cNvPr id="0" name=""/>
        <dsp:cNvSpPr/>
      </dsp:nvSpPr>
      <dsp:spPr>
        <a:xfrm rot="2854442">
          <a:off x="7306018" y="3783336"/>
          <a:ext cx="210500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210500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7406006" y="3781586"/>
        <a:ext cx="10525" cy="10525"/>
      </dsp:txXfrm>
    </dsp:sp>
    <dsp:sp modelId="{C3215FC4-2A99-45B2-9FCB-B571243D418B}">
      <dsp:nvSpPr>
        <dsp:cNvPr id="0" name=""/>
        <dsp:cNvSpPr/>
      </dsp:nvSpPr>
      <dsp:spPr>
        <a:xfrm>
          <a:off x="7482274" y="3724572"/>
          <a:ext cx="922542" cy="27993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b="0" kern="1200"/>
            <a:t>50% Attack: Random </a:t>
          </a:r>
          <a:r>
            <a:rPr lang="en-US" sz="700" b="1" kern="1200"/>
            <a:t>punches/footwork</a:t>
          </a:r>
        </a:p>
      </dsp:txBody>
      <dsp:txXfrm>
        <a:off x="7490473" y="3732771"/>
        <a:ext cx="906144" cy="263536"/>
      </dsp:txXfrm>
    </dsp:sp>
    <dsp:sp modelId="{49411502-BE44-4E1B-90BA-7DB77AED9718}">
      <dsp:nvSpPr>
        <dsp:cNvPr id="0" name=""/>
        <dsp:cNvSpPr/>
      </dsp:nvSpPr>
      <dsp:spPr>
        <a:xfrm rot="1897795">
          <a:off x="3529719" y="4022174"/>
          <a:ext cx="704976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704976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864583" y="4008062"/>
        <a:ext cx="35248" cy="35248"/>
      </dsp:txXfrm>
    </dsp:sp>
    <dsp:sp modelId="{FE177B63-C0CC-441B-A400-C9281704BFD4}">
      <dsp:nvSpPr>
        <dsp:cNvPr id="0" name=""/>
        <dsp:cNvSpPr/>
      </dsp:nvSpPr>
      <dsp:spPr>
        <a:xfrm>
          <a:off x="4182335" y="4067106"/>
          <a:ext cx="782550" cy="286872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OFF</a:t>
          </a:r>
        </a:p>
      </dsp:txBody>
      <dsp:txXfrm>
        <a:off x="4190737" y="4075508"/>
        <a:ext cx="765746" cy="270068"/>
      </dsp:txXfrm>
    </dsp:sp>
    <dsp:sp modelId="{FB5E9AAD-1F75-416E-AA8F-D0A6695E6947}">
      <dsp:nvSpPr>
        <dsp:cNvPr id="0" name=""/>
        <dsp:cNvSpPr/>
      </dsp:nvSpPr>
      <dsp:spPr>
        <a:xfrm rot="18144258">
          <a:off x="4892555" y="4075450"/>
          <a:ext cx="311694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311694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040610" y="4071170"/>
        <a:ext cx="15584" cy="15584"/>
      </dsp:txXfrm>
    </dsp:sp>
    <dsp:sp modelId="{382F2F9D-5BA5-4374-B098-0C93C6C7B6EF}">
      <dsp:nvSpPr>
        <dsp:cNvPr id="0" name=""/>
        <dsp:cNvSpPr/>
      </dsp:nvSpPr>
      <dsp:spPr>
        <a:xfrm>
          <a:off x="5131920" y="3841584"/>
          <a:ext cx="2208343" cy="21159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Robot in State: </a:t>
          </a:r>
          <a:r>
            <a:rPr lang="en-US" sz="700" b="1" kern="1200"/>
            <a:t>Attack</a:t>
          </a:r>
          <a:endParaRPr lang="en-US" sz="700" kern="1200"/>
        </a:p>
      </dsp:txBody>
      <dsp:txXfrm>
        <a:off x="5138117" y="3847781"/>
        <a:ext cx="2195949" cy="199203"/>
      </dsp:txXfrm>
    </dsp:sp>
    <dsp:sp modelId="{911189FE-05D1-4A10-9511-27968F4CCD9B}">
      <dsp:nvSpPr>
        <dsp:cNvPr id="0" name=""/>
        <dsp:cNvSpPr/>
      </dsp:nvSpPr>
      <dsp:spPr>
        <a:xfrm rot="21090563">
          <a:off x="4963960" y="4194562"/>
          <a:ext cx="168884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168884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044180" y="4193852"/>
        <a:ext cx="8444" cy="8444"/>
      </dsp:txXfrm>
    </dsp:sp>
    <dsp:sp modelId="{AF353D93-6CDF-4BBD-9991-4529E8D6B140}">
      <dsp:nvSpPr>
        <dsp:cNvPr id="0" name=""/>
        <dsp:cNvSpPr/>
      </dsp:nvSpPr>
      <dsp:spPr>
        <a:xfrm>
          <a:off x="5131920" y="4079808"/>
          <a:ext cx="2208343" cy="21159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b="1" kern="1200"/>
            <a:t>Sense distance + direction </a:t>
          </a:r>
          <a:endParaRPr lang="en-US" sz="700" kern="1200"/>
        </a:p>
      </dsp:txBody>
      <dsp:txXfrm>
        <a:off x="5138117" y="4086005"/>
        <a:ext cx="2195949" cy="199203"/>
      </dsp:txXfrm>
    </dsp:sp>
    <dsp:sp modelId="{72DC347F-07E8-42A9-B9B7-BD380E60C282}">
      <dsp:nvSpPr>
        <dsp:cNvPr id="0" name=""/>
        <dsp:cNvSpPr/>
      </dsp:nvSpPr>
      <dsp:spPr>
        <a:xfrm rot="3116056">
          <a:off x="4912947" y="4313674"/>
          <a:ext cx="270910" cy="7024"/>
        </a:xfrm>
        <a:custGeom>
          <a:avLst/>
          <a:gdLst/>
          <a:ahLst/>
          <a:cxnLst/>
          <a:rect l="0" t="0" r="0" b="0"/>
          <a:pathLst>
            <a:path>
              <a:moveTo>
                <a:pt x="0" y="3512"/>
              </a:moveTo>
              <a:lnTo>
                <a:pt x="270910" y="351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041630" y="4310414"/>
        <a:ext cx="13545" cy="13545"/>
      </dsp:txXfrm>
    </dsp:sp>
    <dsp:sp modelId="{03B3E8A5-90EF-45FA-B810-47F42141D228}">
      <dsp:nvSpPr>
        <dsp:cNvPr id="0" name=""/>
        <dsp:cNvSpPr/>
      </dsp:nvSpPr>
      <dsp:spPr>
        <a:xfrm>
          <a:off x="5131920" y="4318033"/>
          <a:ext cx="2208343" cy="21159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Attack = With random </a:t>
          </a:r>
          <a:r>
            <a:rPr lang="en-US" sz="700" b="1" kern="1200"/>
            <a:t>punches/footwork</a:t>
          </a:r>
          <a:r>
            <a:rPr lang="en-US" sz="700" b="0" kern="1200"/>
            <a:t>; no sensing of user's actions.</a:t>
          </a:r>
        </a:p>
      </dsp:txBody>
      <dsp:txXfrm>
        <a:off x="5138117" y="4324230"/>
        <a:ext cx="2195949" cy="199203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64CEE50-69EF-45B1-855A-76050D10DE58}">
      <dsp:nvSpPr>
        <dsp:cNvPr id="0" name=""/>
        <dsp:cNvSpPr/>
      </dsp:nvSpPr>
      <dsp:spPr>
        <a:xfrm>
          <a:off x="1312797" y="1904223"/>
          <a:ext cx="660131" cy="33006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50" b="1" kern="1200"/>
            <a:t>Combo</a:t>
          </a:r>
        </a:p>
      </dsp:txBody>
      <dsp:txXfrm>
        <a:off x="1322464" y="1913890"/>
        <a:ext cx="640797" cy="310731"/>
      </dsp:txXfrm>
    </dsp:sp>
    <dsp:sp modelId="{AAD0B584-E43D-4B20-9050-9D0850085C4F}">
      <dsp:nvSpPr>
        <dsp:cNvPr id="0" name=""/>
        <dsp:cNvSpPr/>
      </dsp:nvSpPr>
      <dsp:spPr>
        <a:xfrm rot="16675012">
          <a:off x="1146410" y="1113316"/>
          <a:ext cx="1917089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1917089" y="6530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057028" y="1071919"/>
        <a:ext cx="95854" cy="95854"/>
      </dsp:txXfrm>
    </dsp:sp>
    <dsp:sp modelId="{CF1010A8-174A-48A5-B042-AF91FB6863D1}">
      <dsp:nvSpPr>
        <dsp:cNvPr id="0" name=""/>
        <dsp:cNvSpPr/>
      </dsp:nvSpPr>
      <dsp:spPr>
        <a:xfrm>
          <a:off x="2236982" y="5404"/>
          <a:ext cx="660131" cy="33006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Rounds</a:t>
          </a:r>
        </a:p>
      </dsp:txBody>
      <dsp:txXfrm>
        <a:off x="2246649" y="15071"/>
        <a:ext cx="640797" cy="310731"/>
      </dsp:txXfrm>
    </dsp:sp>
    <dsp:sp modelId="{5F3D26C0-B130-4EC4-9A76-DC7E9F3EC1A3}">
      <dsp:nvSpPr>
        <dsp:cNvPr id="0" name=""/>
        <dsp:cNvSpPr/>
      </dsp:nvSpPr>
      <dsp:spPr>
        <a:xfrm>
          <a:off x="2897113" y="163907"/>
          <a:ext cx="264052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64052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2538" y="163836"/>
        <a:ext cx="13202" cy="13202"/>
      </dsp:txXfrm>
    </dsp:sp>
    <dsp:sp modelId="{31BB8760-49C1-40F6-B58D-4F5037F5026A}">
      <dsp:nvSpPr>
        <dsp:cNvPr id="0" name=""/>
        <dsp:cNvSpPr/>
      </dsp:nvSpPr>
      <dsp:spPr>
        <a:xfrm>
          <a:off x="3161166" y="84937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 to 12 (slider)</a:t>
          </a:r>
        </a:p>
      </dsp:txBody>
      <dsp:txXfrm>
        <a:off x="3166174" y="89945"/>
        <a:ext cx="2199985" cy="160984"/>
      </dsp:txXfrm>
    </dsp:sp>
    <dsp:sp modelId="{66FDE2CC-C1A8-415F-AF7C-634CA0851C0F}">
      <dsp:nvSpPr>
        <dsp:cNvPr id="0" name=""/>
        <dsp:cNvSpPr/>
      </dsp:nvSpPr>
      <dsp:spPr>
        <a:xfrm rot="16865202">
          <a:off x="1418371" y="1388954"/>
          <a:ext cx="1373169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1373169" y="6530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070626" y="1361155"/>
        <a:ext cx="68658" cy="68658"/>
      </dsp:txXfrm>
    </dsp:sp>
    <dsp:sp modelId="{D8C6C875-7AAB-4767-9FB9-EC0AB1611730}">
      <dsp:nvSpPr>
        <dsp:cNvPr id="0" name=""/>
        <dsp:cNvSpPr/>
      </dsp:nvSpPr>
      <dsp:spPr>
        <a:xfrm>
          <a:off x="2236982" y="556680"/>
          <a:ext cx="660131" cy="33006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Speed</a:t>
          </a:r>
          <a:br>
            <a:rPr lang="en-US" sz="800" kern="1200"/>
          </a:br>
          <a:r>
            <a:rPr lang="en-US" sz="700" kern="1200"/>
            <a:t>arm actuation speed</a:t>
          </a:r>
        </a:p>
      </dsp:txBody>
      <dsp:txXfrm>
        <a:off x="2246649" y="566347"/>
        <a:ext cx="640797" cy="310731"/>
      </dsp:txXfrm>
    </dsp:sp>
    <dsp:sp modelId="{EACF1505-376F-42E6-870E-D3C358EE8E75}">
      <dsp:nvSpPr>
        <dsp:cNvPr id="0" name=""/>
        <dsp:cNvSpPr/>
      </dsp:nvSpPr>
      <dsp:spPr>
        <a:xfrm rot="18516038">
          <a:off x="2817521" y="549800"/>
          <a:ext cx="423237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423237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18558" y="545750"/>
        <a:ext cx="21161" cy="21161"/>
      </dsp:txXfrm>
    </dsp:sp>
    <dsp:sp modelId="{F21C9C69-83D9-4198-AA3A-4A792948ED35}">
      <dsp:nvSpPr>
        <dsp:cNvPr id="0" name=""/>
        <dsp:cNvSpPr/>
      </dsp:nvSpPr>
      <dsp:spPr>
        <a:xfrm>
          <a:off x="3161166" y="305447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25%</a:t>
          </a:r>
        </a:p>
      </dsp:txBody>
      <dsp:txXfrm>
        <a:off x="3166174" y="310455"/>
        <a:ext cx="2199985" cy="160984"/>
      </dsp:txXfrm>
    </dsp:sp>
    <dsp:sp modelId="{712C809E-B891-46E8-BE08-646A33AB34DF}">
      <dsp:nvSpPr>
        <dsp:cNvPr id="0" name=""/>
        <dsp:cNvSpPr/>
      </dsp:nvSpPr>
      <dsp:spPr>
        <a:xfrm rot="20240221">
          <a:off x="2886066" y="660055"/>
          <a:ext cx="286146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86146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1986" y="659432"/>
        <a:ext cx="14307" cy="14307"/>
      </dsp:txXfrm>
    </dsp:sp>
    <dsp:sp modelId="{682B2893-B250-4801-9C36-6B4ABE9567BB}">
      <dsp:nvSpPr>
        <dsp:cNvPr id="0" name=""/>
        <dsp:cNvSpPr/>
      </dsp:nvSpPr>
      <dsp:spPr>
        <a:xfrm>
          <a:off x="3161166" y="525958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50%</a:t>
          </a:r>
        </a:p>
      </dsp:txBody>
      <dsp:txXfrm>
        <a:off x="3166174" y="530966"/>
        <a:ext cx="2199985" cy="160984"/>
      </dsp:txXfrm>
    </dsp:sp>
    <dsp:sp modelId="{61092624-DFE9-4D0D-9453-3F731D7AE8EE}">
      <dsp:nvSpPr>
        <dsp:cNvPr id="0" name=""/>
        <dsp:cNvSpPr/>
      </dsp:nvSpPr>
      <dsp:spPr>
        <a:xfrm rot="1359779">
          <a:off x="2886066" y="770310"/>
          <a:ext cx="286146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86146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1986" y="769687"/>
        <a:ext cx="14307" cy="14307"/>
      </dsp:txXfrm>
    </dsp:sp>
    <dsp:sp modelId="{31E2E338-3E72-4B42-A017-3574F553601B}">
      <dsp:nvSpPr>
        <dsp:cNvPr id="0" name=""/>
        <dsp:cNvSpPr/>
      </dsp:nvSpPr>
      <dsp:spPr>
        <a:xfrm>
          <a:off x="3161166" y="746468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75%</a:t>
          </a:r>
        </a:p>
      </dsp:txBody>
      <dsp:txXfrm>
        <a:off x="3166174" y="751476"/>
        <a:ext cx="2199985" cy="160984"/>
      </dsp:txXfrm>
    </dsp:sp>
    <dsp:sp modelId="{D598212C-42EB-4708-B451-AC9CA8D44D3E}">
      <dsp:nvSpPr>
        <dsp:cNvPr id="0" name=""/>
        <dsp:cNvSpPr/>
      </dsp:nvSpPr>
      <dsp:spPr>
        <a:xfrm rot="3083962">
          <a:off x="2817521" y="880565"/>
          <a:ext cx="423237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423237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18558" y="876515"/>
        <a:ext cx="21161" cy="21161"/>
      </dsp:txXfrm>
    </dsp:sp>
    <dsp:sp modelId="{19AF4637-7FEA-4690-A4DD-27D799245FE4}">
      <dsp:nvSpPr>
        <dsp:cNvPr id="0" name=""/>
        <dsp:cNvSpPr/>
      </dsp:nvSpPr>
      <dsp:spPr>
        <a:xfrm>
          <a:off x="3161166" y="966978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100%</a:t>
          </a:r>
        </a:p>
      </dsp:txBody>
      <dsp:txXfrm>
        <a:off x="3166174" y="971986"/>
        <a:ext cx="2199985" cy="160984"/>
      </dsp:txXfrm>
    </dsp:sp>
    <dsp:sp modelId="{D975C6DF-1F48-4869-9A53-4384ADD3D3AC}">
      <dsp:nvSpPr>
        <dsp:cNvPr id="0" name=""/>
        <dsp:cNvSpPr/>
      </dsp:nvSpPr>
      <dsp:spPr>
        <a:xfrm rot="17973829">
          <a:off x="1837367" y="1829975"/>
          <a:ext cx="535177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535177" y="6530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091576" y="1823126"/>
        <a:ext cx="26758" cy="26758"/>
      </dsp:txXfrm>
    </dsp:sp>
    <dsp:sp modelId="{71093D83-133A-452A-B966-7989D6C0947F}">
      <dsp:nvSpPr>
        <dsp:cNvPr id="0" name=""/>
        <dsp:cNvSpPr/>
      </dsp:nvSpPr>
      <dsp:spPr>
        <a:xfrm>
          <a:off x="2236982" y="1438722"/>
          <a:ext cx="660131" cy="33006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Timer</a:t>
          </a:r>
          <a:br>
            <a:rPr lang="en-US" sz="800" kern="1200"/>
          </a:br>
          <a:r>
            <a:rPr lang="en-US" sz="700" kern="1200"/>
            <a:t>how long is each round</a:t>
          </a:r>
          <a:endParaRPr lang="en-US" sz="800" kern="1200"/>
        </a:p>
      </dsp:txBody>
      <dsp:txXfrm>
        <a:off x="2246649" y="1448389"/>
        <a:ext cx="640797" cy="310731"/>
      </dsp:txXfrm>
    </dsp:sp>
    <dsp:sp modelId="{9FAF14BE-DF74-49A8-AD28-95432D77EAF5}">
      <dsp:nvSpPr>
        <dsp:cNvPr id="0" name=""/>
        <dsp:cNvSpPr/>
      </dsp:nvSpPr>
      <dsp:spPr>
        <a:xfrm rot="18516038">
          <a:off x="2817521" y="1431841"/>
          <a:ext cx="423237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423237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18558" y="1427791"/>
        <a:ext cx="21161" cy="21161"/>
      </dsp:txXfrm>
    </dsp:sp>
    <dsp:sp modelId="{88E72931-3C73-48FC-ABBC-E416941CD464}">
      <dsp:nvSpPr>
        <dsp:cNvPr id="0" name=""/>
        <dsp:cNvSpPr/>
      </dsp:nvSpPr>
      <dsp:spPr>
        <a:xfrm>
          <a:off x="3161166" y="1187489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1:00</a:t>
          </a:r>
        </a:p>
      </dsp:txBody>
      <dsp:txXfrm>
        <a:off x="3166174" y="1192497"/>
        <a:ext cx="2199985" cy="160984"/>
      </dsp:txXfrm>
    </dsp:sp>
    <dsp:sp modelId="{46E58718-38C4-44F0-BFB7-0B58D42EC0A4}">
      <dsp:nvSpPr>
        <dsp:cNvPr id="0" name=""/>
        <dsp:cNvSpPr/>
      </dsp:nvSpPr>
      <dsp:spPr>
        <a:xfrm rot="20240221">
          <a:off x="2886066" y="1542097"/>
          <a:ext cx="286146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86146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1986" y="1541473"/>
        <a:ext cx="14307" cy="14307"/>
      </dsp:txXfrm>
    </dsp:sp>
    <dsp:sp modelId="{96ABAD13-D8BE-4D5B-BF3C-E7BC6931C8FA}">
      <dsp:nvSpPr>
        <dsp:cNvPr id="0" name=""/>
        <dsp:cNvSpPr/>
      </dsp:nvSpPr>
      <dsp:spPr>
        <a:xfrm>
          <a:off x="3161166" y="1407999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1:30</a:t>
          </a:r>
        </a:p>
      </dsp:txBody>
      <dsp:txXfrm>
        <a:off x="3166174" y="1413007"/>
        <a:ext cx="2199985" cy="160984"/>
      </dsp:txXfrm>
    </dsp:sp>
    <dsp:sp modelId="{B6F20738-6DA3-44A4-B2DA-859D352924AC}">
      <dsp:nvSpPr>
        <dsp:cNvPr id="0" name=""/>
        <dsp:cNvSpPr/>
      </dsp:nvSpPr>
      <dsp:spPr>
        <a:xfrm rot="1359779">
          <a:off x="2886066" y="1652352"/>
          <a:ext cx="286146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86146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1986" y="1651728"/>
        <a:ext cx="14307" cy="14307"/>
      </dsp:txXfrm>
    </dsp:sp>
    <dsp:sp modelId="{78BC6D7D-B441-494D-B721-D03D80379CF6}">
      <dsp:nvSpPr>
        <dsp:cNvPr id="0" name=""/>
        <dsp:cNvSpPr/>
      </dsp:nvSpPr>
      <dsp:spPr>
        <a:xfrm>
          <a:off x="3161166" y="1628510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2:00</a:t>
          </a:r>
        </a:p>
      </dsp:txBody>
      <dsp:txXfrm>
        <a:off x="3166174" y="1633518"/>
        <a:ext cx="2199985" cy="160984"/>
      </dsp:txXfrm>
    </dsp:sp>
    <dsp:sp modelId="{6260AF23-FDC1-4CEA-866A-6B88F944EE63}">
      <dsp:nvSpPr>
        <dsp:cNvPr id="0" name=""/>
        <dsp:cNvSpPr/>
      </dsp:nvSpPr>
      <dsp:spPr>
        <a:xfrm rot="3083962">
          <a:off x="2817521" y="1762607"/>
          <a:ext cx="423237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423237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18558" y="1758556"/>
        <a:ext cx="21161" cy="21161"/>
      </dsp:txXfrm>
    </dsp:sp>
    <dsp:sp modelId="{64294F35-AEC2-41F2-BD32-9A3D1647D3F5}">
      <dsp:nvSpPr>
        <dsp:cNvPr id="0" name=""/>
        <dsp:cNvSpPr/>
      </dsp:nvSpPr>
      <dsp:spPr>
        <a:xfrm>
          <a:off x="3161166" y="1849020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3:00</a:t>
          </a:r>
        </a:p>
      </dsp:txBody>
      <dsp:txXfrm>
        <a:off x="3166174" y="1854028"/>
        <a:ext cx="2199985" cy="160984"/>
      </dsp:txXfrm>
    </dsp:sp>
    <dsp:sp modelId="{372436AE-A903-42B2-942B-52DBBB32A021}">
      <dsp:nvSpPr>
        <dsp:cNvPr id="0" name=""/>
        <dsp:cNvSpPr/>
      </dsp:nvSpPr>
      <dsp:spPr>
        <a:xfrm rot="2954097">
          <a:off x="1902758" y="2215868"/>
          <a:ext cx="404394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404394" y="6530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094845" y="2212288"/>
        <a:ext cx="20219" cy="20219"/>
      </dsp:txXfrm>
    </dsp:sp>
    <dsp:sp modelId="{E58307EC-3C87-4E8B-97C2-994DB3B57AAD}">
      <dsp:nvSpPr>
        <dsp:cNvPr id="0" name=""/>
        <dsp:cNvSpPr/>
      </dsp:nvSpPr>
      <dsp:spPr>
        <a:xfrm>
          <a:off x="2236982" y="2210508"/>
          <a:ext cx="660131" cy="33006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Level</a:t>
          </a:r>
          <a:br>
            <a:rPr lang="en-US" sz="800" kern="1200"/>
          </a:br>
          <a:r>
            <a:rPr lang="en-US" sz="700" kern="1200"/>
            <a:t>difficulty</a:t>
          </a:r>
          <a:endParaRPr lang="en-US" sz="800" kern="1200"/>
        </a:p>
      </dsp:txBody>
      <dsp:txXfrm>
        <a:off x="2246649" y="2220175"/>
        <a:ext cx="640797" cy="310731"/>
      </dsp:txXfrm>
    </dsp:sp>
    <dsp:sp modelId="{D4D96907-D52F-4669-A156-41C1431D3308}">
      <dsp:nvSpPr>
        <dsp:cNvPr id="0" name=""/>
        <dsp:cNvSpPr/>
      </dsp:nvSpPr>
      <dsp:spPr>
        <a:xfrm rot="19208085">
          <a:off x="2857130" y="2258755"/>
          <a:ext cx="344018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344018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0539" y="2256685"/>
        <a:ext cx="17200" cy="17200"/>
      </dsp:txXfrm>
    </dsp:sp>
    <dsp:sp modelId="{146DA20F-D5BF-47D5-A429-6CEDB3B150A0}">
      <dsp:nvSpPr>
        <dsp:cNvPr id="0" name=""/>
        <dsp:cNvSpPr/>
      </dsp:nvSpPr>
      <dsp:spPr>
        <a:xfrm>
          <a:off x="3161166" y="2069530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1: Two second intervals between each round</a:t>
          </a:r>
        </a:p>
      </dsp:txBody>
      <dsp:txXfrm>
        <a:off x="3166174" y="2074538"/>
        <a:ext cx="2199985" cy="160984"/>
      </dsp:txXfrm>
    </dsp:sp>
    <dsp:sp modelId="{D7E5716B-AAF3-4200-BD94-EA4C046FEA22}">
      <dsp:nvSpPr>
        <dsp:cNvPr id="0" name=""/>
        <dsp:cNvSpPr/>
      </dsp:nvSpPr>
      <dsp:spPr>
        <a:xfrm>
          <a:off x="2897113" y="2369010"/>
          <a:ext cx="264052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64052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2538" y="2368939"/>
        <a:ext cx="13202" cy="13202"/>
      </dsp:txXfrm>
    </dsp:sp>
    <dsp:sp modelId="{4A577E75-FF5E-4175-AAC6-273BAD6F6639}">
      <dsp:nvSpPr>
        <dsp:cNvPr id="0" name=""/>
        <dsp:cNvSpPr/>
      </dsp:nvSpPr>
      <dsp:spPr>
        <a:xfrm>
          <a:off x="3161166" y="2290041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2: One second intervals between each round</a:t>
          </a:r>
        </a:p>
      </dsp:txBody>
      <dsp:txXfrm>
        <a:off x="3166174" y="2295049"/>
        <a:ext cx="2199985" cy="160984"/>
      </dsp:txXfrm>
    </dsp:sp>
    <dsp:sp modelId="{3C563882-B935-4E9A-B365-F5CAE854D6CA}">
      <dsp:nvSpPr>
        <dsp:cNvPr id="0" name=""/>
        <dsp:cNvSpPr/>
      </dsp:nvSpPr>
      <dsp:spPr>
        <a:xfrm rot="2391915">
          <a:off x="2857130" y="2479265"/>
          <a:ext cx="344018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344018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0539" y="2477195"/>
        <a:ext cx="17200" cy="17200"/>
      </dsp:txXfrm>
    </dsp:sp>
    <dsp:sp modelId="{6ED6BE51-78F3-446D-8AA8-6D7A43AA69B0}">
      <dsp:nvSpPr>
        <dsp:cNvPr id="0" name=""/>
        <dsp:cNvSpPr/>
      </dsp:nvSpPr>
      <dsp:spPr>
        <a:xfrm>
          <a:off x="3161166" y="2510551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3: Random second intervals between each round</a:t>
          </a:r>
        </a:p>
      </dsp:txBody>
      <dsp:txXfrm>
        <a:off x="3166174" y="2515559"/>
        <a:ext cx="2199985" cy="160984"/>
      </dsp:txXfrm>
    </dsp:sp>
    <dsp:sp modelId="{A8189CA4-637D-416B-A1A0-C04008298E5F}">
      <dsp:nvSpPr>
        <dsp:cNvPr id="0" name=""/>
        <dsp:cNvSpPr/>
      </dsp:nvSpPr>
      <dsp:spPr>
        <a:xfrm rot="4574247">
          <a:off x="1549986" y="2601761"/>
          <a:ext cx="1109937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1109937" y="6530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077207" y="2580543"/>
        <a:ext cx="55496" cy="55496"/>
      </dsp:txXfrm>
    </dsp:sp>
    <dsp:sp modelId="{03623332-D118-40B5-9F5F-9778F7EC6A99}">
      <dsp:nvSpPr>
        <dsp:cNvPr id="0" name=""/>
        <dsp:cNvSpPr/>
      </dsp:nvSpPr>
      <dsp:spPr>
        <a:xfrm>
          <a:off x="2236982" y="2877785"/>
          <a:ext cx="660131" cy="539083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Rest</a:t>
          </a:r>
          <a:br>
            <a:rPr lang="en-US" sz="800" kern="1200"/>
          </a:br>
          <a:r>
            <a:rPr lang="en-US" sz="700" kern="1200"/>
            <a:t>rest duration between each round when rd&gt;1</a:t>
          </a:r>
          <a:endParaRPr lang="en-US" sz="800" kern="1200"/>
        </a:p>
      </dsp:txBody>
      <dsp:txXfrm>
        <a:off x="2252771" y="2893574"/>
        <a:ext cx="628553" cy="507505"/>
      </dsp:txXfrm>
    </dsp:sp>
    <dsp:sp modelId="{2281EEB8-E0B7-4CB3-B503-CC9DDB85B38E}">
      <dsp:nvSpPr>
        <dsp:cNvPr id="0" name=""/>
        <dsp:cNvSpPr/>
      </dsp:nvSpPr>
      <dsp:spPr>
        <a:xfrm rot="18516038">
          <a:off x="2817521" y="2975414"/>
          <a:ext cx="423237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423237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18558" y="2971363"/>
        <a:ext cx="21161" cy="21161"/>
      </dsp:txXfrm>
    </dsp:sp>
    <dsp:sp modelId="{ECA161AC-D090-45AC-946D-6C93F5F92BB9}">
      <dsp:nvSpPr>
        <dsp:cNvPr id="0" name=""/>
        <dsp:cNvSpPr/>
      </dsp:nvSpPr>
      <dsp:spPr>
        <a:xfrm>
          <a:off x="3161166" y="2731061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0:10</a:t>
          </a:r>
        </a:p>
      </dsp:txBody>
      <dsp:txXfrm>
        <a:off x="3166174" y="2736069"/>
        <a:ext cx="2199985" cy="160984"/>
      </dsp:txXfrm>
    </dsp:sp>
    <dsp:sp modelId="{5C78B9A6-1B08-405F-9B8B-1C1F6B0CD323}">
      <dsp:nvSpPr>
        <dsp:cNvPr id="0" name=""/>
        <dsp:cNvSpPr/>
      </dsp:nvSpPr>
      <dsp:spPr>
        <a:xfrm rot="20240221">
          <a:off x="2886066" y="3085669"/>
          <a:ext cx="286146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86146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1986" y="3085046"/>
        <a:ext cx="14307" cy="14307"/>
      </dsp:txXfrm>
    </dsp:sp>
    <dsp:sp modelId="{EF58B2E1-8F4D-43DE-84FC-26255917CC37}">
      <dsp:nvSpPr>
        <dsp:cNvPr id="0" name=""/>
        <dsp:cNvSpPr/>
      </dsp:nvSpPr>
      <dsp:spPr>
        <a:xfrm>
          <a:off x="3161166" y="2951572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0:30</a:t>
          </a:r>
        </a:p>
      </dsp:txBody>
      <dsp:txXfrm>
        <a:off x="3166174" y="2956580"/>
        <a:ext cx="2199985" cy="160984"/>
      </dsp:txXfrm>
    </dsp:sp>
    <dsp:sp modelId="{C43FBB02-08C0-4092-A160-8C980DA8CF8B}">
      <dsp:nvSpPr>
        <dsp:cNvPr id="0" name=""/>
        <dsp:cNvSpPr/>
      </dsp:nvSpPr>
      <dsp:spPr>
        <a:xfrm rot="1359779">
          <a:off x="2886066" y="3195924"/>
          <a:ext cx="286146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86146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1986" y="3195301"/>
        <a:ext cx="14307" cy="14307"/>
      </dsp:txXfrm>
    </dsp:sp>
    <dsp:sp modelId="{26CAE0B6-4B1A-4A07-9248-1F1FAB7F75E5}">
      <dsp:nvSpPr>
        <dsp:cNvPr id="0" name=""/>
        <dsp:cNvSpPr/>
      </dsp:nvSpPr>
      <dsp:spPr>
        <a:xfrm>
          <a:off x="3161166" y="3172082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0:45</a:t>
          </a:r>
        </a:p>
      </dsp:txBody>
      <dsp:txXfrm>
        <a:off x="3166174" y="3177090"/>
        <a:ext cx="2199985" cy="160984"/>
      </dsp:txXfrm>
    </dsp:sp>
    <dsp:sp modelId="{329FD21A-5770-4601-B68B-2FB06148937A}">
      <dsp:nvSpPr>
        <dsp:cNvPr id="0" name=""/>
        <dsp:cNvSpPr/>
      </dsp:nvSpPr>
      <dsp:spPr>
        <a:xfrm rot="3083962">
          <a:off x="2817521" y="3306179"/>
          <a:ext cx="423237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423237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18558" y="3302129"/>
        <a:ext cx="21161" cy="21161"/>
      </dsp:txXfrm>
    </dsp:sp>
    <dsp:sp modelId="{DDD8CA60-47A4-40BE-AE65-DEB8E01FA1EF}">
      <dsp:nvSpPr>
        <dsp:cNvPr id="0" name=""/>
        <dsp:cNvSpPr/>
      </dsp:nvSpPr>
      <dsp:spPr>
        <a:xfrm>
          <a:off x="3161166" y="3392592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1:00</a:t>
          </a:r>
        </a:p>
      </dsp:txBody>
      <dsp:txXfrm>
        <a:off x="3166174" y="3397600"/>
        <a:ext cx="2199985" cy="160984"/>
      </dsp:txXfrm>
    </dsp:sp>
    <dsp:sp modelId="{068A4749-5D03-4190-ADFC-856DC7C32493}">
      <dsp:nvSpPr>
        <dsp:cNvPr id="0" name=""/>
        <dsp:cNvSpPr/>
      </dsp:nvSpPr>
      <dsp:spPr>
        <a:xfrm rot="4924988">
          <a:off x="1146410" y="3012134"/>
          <a:ext cx="1917089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1917089" y="6530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057028" y="2970737"/>
        <a:ext cx="95854" cy="95854"/>
      </dsp:txXfrm>
    </dsp:sp>
    <dsp:sp modelId="{E7ECED2F-FDDA-4478-A3C2-7C0A472E6F39}">
      <dsp:nvSpPr>
        <dsp:cNvPr id="0" name=""/>
        <dsp:cNvSpPr/>
      </dsp:nvSpPr>
      <dsp:spPr>
        <a:xfrm>
          <a:off x="2236982" y="3803041"/>
          <a:ext cx="660131" cy="33006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1" kern="1200"/>
            <a:t>Punches</a:t>
          </a:r>
        </a:p>
      </dsp:txBody>
      <dsp:txXfrm>
        <a:off x="2246649" y="3812708"/>
        <a:ext cx="640797" cy="310731"/>
      </dsp:txXfrm>
    </dsp:sp>
    <dsp:sp modelId="{C45CF74E-DC25-467D-998A-93C49E51FB9B}">
      <dsp:nvSpPr>
        <dsp:cNvPr id="0" name=""/>
        <dsp:cNvSpPr/>
      </dsp:nvSpPr>
      <dsp:spPr>
        <a:xfrm rot="18865090">
          <a:off x="2840501" y="3826808"/>
          <a:ext cx="377277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377277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19707" y="3823906"/>
        <a:ext cx="18863" cy="18863"/>
      </dsp:txXfrm>
    </dsp:sp>
    <dsp:sp modelId="{38BBCF4D-FE81-4480-A338-C5B3FEE2E537}">
      <dsp:nvSpPr>
        <dsp:cNvPr id="0" name=""/>
        <dsp:cNvSpPr/>
      </dsp:nvSpPr>
      <dsp:spPr>
        <a:xfrm>
          <a:off x="3161166" y="3613103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No. of Combos -- 2 to 8</a:t>
          </a:r>
        </a:p>
      </dsp:txBody>
      <dsp:txXfrm>
        <a:off x="3166174" y="3618111"/>
        <a:ext cx="2199985" cy="160984"/>
      </dsp:txXfrm>
    </dsp:sp>
    <dsp:sp modelId="{3CAEF3DD-5341-4636-8FB8-4E1307D36BC1}">
      <dsp:nvSpPr>
        <dsp:cNvPr id="0" name=""/>
        <dsp:cNvSpPr/>
      </dsp:nvSpPr>
      <dsp:spPr>
        <a:xfrm rot="20969735">
          <a:off x="2894863" y="3937063"/>
          <a:ext cx="268553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68553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2426" y="3936880"/>
        <a:ext cx="13427" cy="13427"/>
      </dsp:txXfrm>
    </dsp:sp>
    <dsp:sp modelId="{AC82A49C-38BE-493D-9692-511154921F4C}">
      <dsp:nvSpPr>
        <dsp:cNvPr id="0" name=""/>
        <dsp:cNvSpPr/>
      </dsp:nvSpPr>
      <dsp:spPr>
        <a:xfrm>
          <a:off x="3161166" y="3833613"/>
          <a:ext cx="2210001" cy="171000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Sequence of Combos -- Free to click order</a:t>
          </a:r>
        </a:p>
      </dsp:txBody>
      <dsp:txXfrm>
        <a:off x="3166174" y="3838621"/>
        <a:ext cx="2199985" cy="160984"/>
      </dsp:txXfrm>
    </dsp:sp>
    <dsp:sp modelId="{49411502-BE44-4E1B-90BA-7DB77AED9718}">
      <dsp:nvSpPr>
        <dsp:cNvPr id="0" name=""/>
        <dsp:cNvSpPr/>
      </dsp:nvSpPr>
      <dsp:spPr>
        <a:xfrm rot="2391915">
          <a:off x="2857130" y="4071798"/>
          <a:ext cx="344018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344018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3020539" y="4069728"/>
        <a:ext cx="17200" cy="17200"/>
      </dsp:txXfrm>
    </dsp:sp>
    <dsp:sp modelId="{FE177B63-C0CC-441B-A400-C9281704BFD4}">
      <dsp:nvSpPr>
        <dsp:cNvPr id="0" name=""/>
        <dsp:cNvSpPr/>
      </dsp:nvSpPr>
      <dsp:spPr>
        <a:xfrm>
          <a:off x="3161166" y="4054123"/>
          <a:ext cx="2210001" cy="26892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Punch Type -- based on numbering (boxing fundamentals)</a:t>
          </a:r>
        </a:p>
      </dsp:txBody>
      <dsp:txXfrm>
        <a:off x="3169042" y="4061999"/>
        <a:ext cx="2194249" cy="253169"/>
      </dsp:txXfrm>
    </dsp:sp>
    <dsp:sp modelId="{FB5E9AAD-1F75-416E-AA8F-D0A6695E6947}">
      <dsp:nvSpPr>
        <dsp:cNvPr id="0" name=""/>
        <dsp:cNvSpPr/>
      </dsp:nvSpPr>
      <dsp:spPr>
        <a:xfrm>
          <a:off x="5371167" y="4182053"/>
          <a:ext cx="264052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264052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496592" y="4181983"/>
        <a:ext cx="13202" cy="13202"/>
      </dsp:txXfrm>
    </dsp:sp>
    <dsp:sp modelId="{382F2F9D-5BA5-4374-B098-0C93C6C7B6EF}">
      <dsp:nvSpPr>
        <dsp:cNvPr id="0" name=""/>
        <dsp:cNvSpPr/>
      </dsp:nvSpPr>
      <dsp:spPr>
        <a:xfrm>
          <a:off x="5635220" y="4023551"/>
          <a:ext cx="660131" cy="33006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Wheels: Left/Right Pivot = Rotation; No Movement</a:t>
          </a:r>
        </a:p>
      </dsp:txBody>
      <dsp:txXfrm>
        <a:off x="5644887" y="4033218"/>
        <a:ext cx="640797" cy="310731"/>
      </dsp:txXfrm>
    </dsp:sp>
    <dsp:sp modelId="{C0FB82FC-86FF-4EB7-9B7F-1AF0F99D44EF}">
      <dsp:nvSpPr>
        <dsp:cNvPr id="0" name=""/>
        <dsp:cNvSpPr/>
      </dsp:nvSpPr>
      <dsp:spPr>
        <a:xfrm rot="19457599">
          <a:off x="6264787" y="4087159"/>
          <a:ext cx="325181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325181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6419248" y="4085560"/>
        <a:ext cx="16259" cy="16259"/>
      </dsp:txXfrm>
    </dsp:sp>
    <dsp:sp modelId="{22FB63E2-E072-48D6-883F-2ACD9DE422B4}">
      <dsp:nvSpPr>
        <dsp:cNvPr id="0" name=""/>
        <dsp:cNvSpPr/>
      </dsp:nvSpPr>
      <dsp:spPr>
        <a:xfrm>
          <a:off x="6559404" y="3833763"/>
          <a:ext cx="660131" cy="33006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Constant rotation speed throughout</a:t>
          </a:r>
        </a:p>
      </dsp:txBody>
      <dsp:txXfrm>
        <a:off x="6569071" y="3843430"/>
        <a:ext cx="640797" cy="310731"/>
      </dsp:txXfrm>
    </dsp:sp>
    <dsp:sp modelId="{263BAD38-4E01-4C25-B39F-B5577B7622B2}">
      <dsp:nvSpPr>
        <dsp:cNvPr id="0" name=""/>
        <dsp:cNvSpPr/>
      </dsp:nvSpPr>
      <dsp:spPr>
        <a:xfrm rot="2142401">
          <a:off x="6264787" y="4276947"/>
          <a:ext cx="325181" cy="13060"/>
        </a:xfrm>
        <a:custGeom>
          <a:avLst/>
          <a:gdLst/>
          <a:ahLst/>
          <a:cxnLst/>
          <a:rect l="0" t="0" r="0" b="0"/>
          <a:pathLst>
            <a:path>
              <a:moveTo>
                <a:pt x="0" y="6530"/>
              </a:moveTo>
              <a:lnTo>
                <a:pt x="325181" y="6530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6419248" y="4275348"/>
        <a:ext cx="16259" cy="16259"/>
      </dsp:txXfrm>
    </dsp:sp>
    <dsp:sp modelId="{17E1E535-E996-45EE-BD59-F7EFBEA364BC}">
      <dsp:nvSpPr>
        <dsp:cNvPr id="0" name=""/>
        <dsp:cNvSpPr/>
      </dsp:nvSpPr>
      <dsp:spPr>
        <a:xfrm>
          <a:off x="6559404" y="4213339"/>
          <a:ext cx="660131" cy="330065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No syncing between arms &amp; wheels</a:t>
          </a:r>
        </a:p>
      </dsp:txBody>
      <dsp:txXfrm>
        <a:off x="6569071" y="4223006"/>
        <a:ext cx="640797" cy="31073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506300</xdr:colOff>
      <xdr:row>4</xdr:row>
      <xdr:rowOff>54897</xdr:rowOff>
    </xdr:from>
    <xdr:ext cx="258631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7BF84FE-FFD0-2BAF-0077-933929C9F4DB}"/>
                </a:ext>
              </a:extLst>
            </xdr:cNvPr>
            <xdr:cNvSpPr txBox="1"/>
          </xdr:nvSpPr>
          <xdr:spPr>
            <a:xfrm>
              <a:off x="7858627" y="708437"/>
              <a:ext cx="258631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SG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𝐸𝑛𝑒𝑟𝑔𝑦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=24 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 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𝐴h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=240 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𝑊h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7BF84FE-FFD0-2BAF-0077-933929C9F4DB}"/>
                </a:ext>
              </a:extLst>
            </xdr:cNvPr>
            <xdr:cNvSpPr txBox="1"/>
          </xdr:nvSpPr>
          <xdr:spPr>
            <a:xfrm>
              <a:off x="7858627" y="708437"/>
              <a:ext cx="258631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SG" sz="1100" b="0" i="0">
                  <a:latin typeface="Cambria Math" panose="02040503050406030204" pitchFamily="18" charset="0"/>
                </a:rPr>
                <a:t>𝑇𝑜𝑡𝑎𝑙 𝐸𝑛𝑒𝑟𝑔𝑦=24 𝑉</a:t>
              </a:r>
              <a:r>
                <a:rPr lang="en-S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 𝐴ℎ=240 𝑊ℎ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4621</xdr:colOff>
      <xdr:row>7</xdr:row>
      <xdr:rowOff>145228</xdr:rowOff>
    </xdr:from>
    <xdr:ext cx="5548453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B0897F6-588D-49E0-A6FB-664E3E3177AE}"/>
                </a:ext>
              </a:extLst>
            </xdr:cNvPr>
            <xdr:cNvSpPr txBox="1"/>
          </xdr:nvSpPr>
          <xdr:spPr>
            <a:xfrm>
              <a:off x="7367446" y="1285053"/>
              <a:ext cx="5548453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SG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𝐸𝑛𝑒𝑟𝑔𝑦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=24 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10 </m:t>
                        </m:r>
                        <m: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𝐴h</m:t>
                        </m:r>
                      </m:num>
                      <m:den>
                        <m: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0.83 </m:t>
                        </m:r>
                        <m: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den>
                    </m:f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24 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×12.05 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=290 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𝑊h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B0897F6-588D-49E0-A6FB-664E3E3177AE}"/>
                </a:ext>
              </a:extLst>
            </xdr:cNvPr>
            <xdr:cNvSpPr txBox="1"/>
          </xdr:nvSpPr>
          <xdr:spPr>
            <a:xfrm>
              <a:off x="7367446" y="1285053"/>
              <a:ext cx="5548453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SG" sz="1100" b="0" i="0">
                  <a:latin typeface="Cambria Math" panose="02040503050406030204" pitchFamily="18" charset="0"/>
                </a:rPr>
                <a:t>𝑇𝑜𝑡𝑎𝑙 𝐸𝑛𝑒𝑟𝑔𝑦=24 𝑉</a:t>
              </a:r>
              <a:r>
                <a:rPr lang="en-S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×(10 𝐴ℎ)/(0.83 ℎ)  =</a:t>
              </a:r>
              <a:r>
                <a:rPr lang="en-SG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24 𝑉×12.05 𝐴=290 </a:t>
              </a:r>
              <a:r>
                <a:rPr lang="en-S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𝑊ℎ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61737</xdr:rowOff>
    </xdr:from>
    <xdr:to>
      <xdr:col>14</xdr:col>
      <xdr:colOff>347734</xdr:colOff>
      <xdr:row>27</xdr:row>
      <xdr:rowOff>124788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CC622FBE-C89A-4FA7-CB15-70053CA2E5C1}"/>
            </a:ext>
          </a:extLst>
        </xdr:cNvPr>
        <xdr:cNvGrpSpPr/>
      </xdr:nvGrpSpPr>
      <xdr:grpSpPr>
        <a:xfrm>
          <a:off x="0" y="224095"/>
          <a:ext cx="16578118" cy="4782256"/>
          <a:chOff x="0" y="3327819"/>
          <a:chExt cx="14785165" cy="4799094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BCB7DD89-07E0-47AA-B3DC-B051EB62DABD}"/>
              </a:ext>
            </a:extLst>
          </xdr:cNvPr>
          <xdr:cNvGrpSpPr/>
        </xdr:nvGrpSpPr>
        <xdr:grpSpPr>
          <a:xfrm>
            <a:off x="5182928" y="3327819"/>
            <a:ext cx="2083617" cy="1968613"/>
            <a:chOff x="802588" y="2053435"/>
            <a:chExt cx="2087688" cy="1952330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C106A2B0-C9BE-37C6-616A-534CFC6779AF}"/>
                </a:ext>
              </a:extLst>
            </xdr:cNvPr>
            <xdr:cNvGrpSpPr/>
          </xdr:nvGrpSpPr>
          <xdr:grpSpPr>
            <a:xfrm>
              <a:off x="802588" y="2053435"/>
              <a:ext cx="2087688" cy="1952330"/>
              <a:chOff x="-7732412" y="-254866"/>
              <a:chExt cx="1368015" cy="4832327"/>
            </a:xfrm>
          </xdr:grpSpPr>
          <xdr:sp macro="" textlink="">
            <xdr:nvSpPr>
              <xdr:cNvPr id="12" name="Rectangle: Rounded Corners 11">
                <a:extLst>
                  <a:ext uri="{FF2B5EF4-FFF2-40B4-BE49-F238E27FC236}">
                    <a16:creationId xmlns:a16="http://schemas.microsoft.com/office/drawing/2014/main" id="{9E38CC2A-9CDB-DE3A-933B-FE297A7631D7}"/>
                  </a:ext>
                </a:extLst>
              </xdr:cNvPr>
              <xdr:cNvSpPr/>
            </xdr:nvSpPr>
            <xdr:spPr>
              <a:xfrm>
                <a:off x="-7732412" y="-254866"/>
                <a:ext cx="1359192" cy="4832327"/>
              </a:xfrm>
              <a:prstGeom prst="roundRect">
                <a:avLst>
                  <a:gd name="adj" fmla="val 4286"/>
                </a:avLst>
              </a:prstGeom>
            </xdr:spPr>
            <xdr:style>
              <a:lnRef idx="0">
                <a:schemeClr val="dk2">
                  <a:hueOff val="0"/>
                  <a:satOff val="0"/>
                  <a:lumOff val="0"/>
                  <a:alphaOff val="0"/>
                </a:schemeClr>
              </a:lnRef>
              <a:fillRef idx="1">
                <a:schemeClr val="dk2">
                  <a:tint val="40000"/>
                  <a:hueOff val="0"/>
                  <a:satOff val="0"/>
                  <a:lumOff val="0"/>
                  <a:alphaOff val="0"/>
                </a:schemeClr>
              </a:fillRef>
              <a:effectRef idx="0">
                <a:schemeClr val="dk2">
                  <a:tint val="40000"/>
                  <a:hueOff val="0"/>
                  <a:satOff val="0"/>
                  <a:lumOff val="0"/>
                  <a:alphaOff val="0"/>
                </a:schemeClr>
              </a:effectRef>
              <a:fontRef idx="minor">
                <a:schemeClr val="dk1">
                  <a:hueOff val="0"/>
                  <a:satOff val="0"/>
                  <a:lumOff val="0"/>
                  <a:alphaOff val="0"/>
                </a:schemeClr>
              </a:fontRef>
            </xdr:style>
          </xdr:sp>
          <xdr:sp macro="" textlink="">
            <xdr:nvSpPr>
              <xdr:cNvPr id="13" name="Rectangle: Rounded Corners 4">
                <a:extLst>
                  <a:ext uri="{FF2B5EF4-FFF2-40B4-BE49-F238E27FC236}">
                    <a16:creationId xmlns:a16="http://schemas.microsoft.com/office/drawing/2014/main" id="{0BF4A879-5C9C-5494-A69A-E1A3CF5172FA}"/>
                  </a:ext>
                </a:extLst>
              </xdr:cNvPr>
              <xdr:cNvSpPr txBox="1"/>
            </xdr:nvSpPr>
            <xdr:spPr>
              <a:xfrm>
                <a:off x="-7720960" y="-249650"/>
                <a:ext cx="1356563" cy="1055211"/>
              </a:xfrm>
              <a:prstGeom prst="rect">
                <a:avLst/>
              </a:prstGeom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>
                  <a:hueOff val="0"/>
                  <a:satOff val="0"/>
                  <a:lumOff val="0"/>
                  <a:alphaOff val="0"/>
                </a:schemeClr>
              </a:fontRef>
            </xdr:style>
            <xdr:txBody>
              <a:bodyPr spcFirstLastPara="0" vert="horz" wrap="square" lIns="106680" tIns="106680" rIns="106680" bIns="106680" numCol="1" spcCol="1270" anchor="ctr" anchorCtr="0">
                <a:noAutofit/>
              </a:bodyPr>
              <a:lstStyle/>
              <a:p>
                <a:pPr marL="0" lvl="0" indent="0" algn="ctr" defTabSz="666750">
                  <a:lnSpc>
                    <a:spcPct val="90000"/>
                  </a:lnSpc>
                  <a:spcBef>
                    <a:spcPct val="0"/>
                  </a:spcBef>
                  <a:spcAft>
                    <a:spcPct val="35000"/>
                  </a:spcAft>
                  <a:buNone/>
                </a:pPr>
                <a:r>
                  <a:rPr lang="en-US" sz="1050" b="1" kern="1200"/>
                  <a:t>User</a:t>
                </a:r>
              </a:p>
            </xdr:txBody>
          </xdr:sp>
        </xdr:grpSp>
        <xdr:graphicFrame macro="">
          <xdr:nvGraphicFramePr>
            <xdr:cNvPr id="11" name="Diagram 10">
              <a:extLst>
                <a:ext uri="{FF2B5EF4-FFF2-40B4-BE49-F238E27FC236}">
                  <a16:creationId xmlns:a16="http://schemas.microsoft.com/office/drawing/2014/main" id="{08CF481F-62A8-9C2B-A907-9A3B4CDEF965}"/>
                </a:ext>
              </a:extLst>
            </xdr:cNvPr>
            <xdr:cNvGraphicFramePr/>
          </xdr:nvGraphicFramePr>
          <xdr:xfrm>
            <a:off x="846240" y="2458433"/>
            <a:ext cx="1954998" cy="1419776"/>
          </xdr:xfrm>
          <a:graphic>
            <a:graphicData uri="http://schemas.openxmlformats.org/drawingml/2006/diagram">
              <dgm:relIds xmlns:dgm="http://schemas.openxmlformats.org/drawingml/2006/diagram" xmlns:r="http://schemas.openxmlformats.org/officeDocument/2006/relationships" r:dm="rId1" r:lo="rId2" r:qs="rId3" r:cs="rId4"/>
            </a:graphicData>
          </a:graphic>
        </xdr:graphicFrame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00D1C2B7-03CC-4DA4-B5DD-D11604ADF9F2}"/>
              </a:ext>
            </a:extLst>
          </xdr:cNvPr>
          <xdr:cNvGrpSpPr/>
        </xdr:nvGrpSpPr>
        <xdr:grpSpPr>
          <a:xfrm>
            <a:off x="0" y="3438975"/>
            <a:ext cx="14785165" cy="4687938"/>
            <a:chOff x="7158337" y="1923389"/>
            <a:chExt cx="11680754" cy="4900980"/>
          </a:xfrm>
        </xdr:grpSpPr>
        <xdr:graphicFrame macro="">
          <xdr:nvGraphicFramePr>
            <xdr:cNvPr id="15" name="Diagram 14">
              <a:extLst>
                <a:ext uri="{FF2B5EF4-FFF2-40B4-BE49-F238E27FC236}">
                  <a16:creationId xmlns:a16="http://schemas.microsoft.com/office/drawing/2014/main" id="{5089839E-1D1C-A260-35BB-CEF0786569DA}"/>
                </a:ext>
              </a:extLst>
            </xdr:cNvPr>
            <xdr:cNvGraphicFramePr/>
          </xdr:nvGraphicFramePr>
          <xdr:xfrm>
            <a:off x="11733956" y="2052095"/>
            <a:ext cx="7105135" cy="4772274"/>
          </xdr:xfrm>
          <a:graphic>
            <a:graphicData uri="http://schemas.openxmlformats.org/drawingml/2006/diagram">
              <dgm:relIds xmlns:dgm="http://schemas.openxmlformats.org/drawingml/2006/diagram" xmlns:r="http://schemas.openxmlformats.org/officeDocument/2006/relationships" r:dm="rId6" r:lo="rId7" r:qs="rId8" r:cs="rId9"/>
            </a:graphicData>
          </a:graphic>
        </xdr:graphicFrame>
        <xdr:graphicFrame macro="">
          <xdr:nvGraphicFramePr>
            <xdr:cNvPr id="16" name="Diagram 15">
              <a:extLst>
                <a:ext uri="{FF2B5EF4-FFF2-40B4-BE49-F238E27FC236}">
                  <a16:creationId xmlns:a16="http://schemas.microsoft.com/office/drawing/2014/main" id="{833C7457-0229-E526-C2DA-CB604C5AA940}"/>
                </a:ext>
              </a:extLst>
            </xdr:cNvPr>
            <xdr:cNvGraphicFramePr/>
          </xdr:nvGraphicFramePr>
          <xdr:xfrm>
            <a:off x="7158337" y="1923389"/>
            <a:ext cx="6011786" cy="4772273"/>
          </xdr:xfrm>
          <a:graphic>
            <a:graphicData uri="http://schemas.openxmlformats.org/drawingml/2006/diagram">
              <dgm:relIds xmlns:dgm="http://schemas.openxmlformats.org/drawingml/2006/diagram" xmlns:r="http://schemas.openxmlformats.org/officeDocument/2006/relationships" r:dm="rId11" r:lo="rId12" r:qs="rId13" r:cs="rId14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506300</xdr:colOff>
      <xdr:row>4</xdr:row>
      <xdr:rowOff>54897</xdr:rowOff>
    </xdr:from>
    <xdr:ext cx="258631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5323A05-BEA3-4C25-8924-A741E03110C7}"/>
                </a:ext>
              </a:extLst>
            </xdr:cNvPr>
            <xdr:cNvSpPr txBox="1"/>
          </xdr:nvSpPr>
          <xdr:spPr>
            <a:xfrm>
              <a:off x="7859600" y="702597"/>
              <a:ext cx="258631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SG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𝐸𝑛𝑒𝑟𝑔𝑦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=24 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 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𝐴h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=240 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𝑊h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5323A05-BEA3-4C25-8924-A741E03110C7}"/>
                </a:ext>
              </a:extLst>
            </xdr:cNvPr>
            <xdr:cNvSpPr txBox="1"/>
          </xdr:nvSpPr>
          <xdr:spPr>
            <a:xfrm>
              <a:off x="7859600" y="702597"/>
              <a:ext cx="258631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SG" sz="1100" b="0" i="0">
                  <a:latin typeface="Cambria Math" panose="02040503050406030204" pitchFamily="18" charset="0"/>
                </a:rPr>
                <a:t>𝑇𝑜𝑡𝑎𝑙 𝐸𝑛𝑒𝑟𝑔𝑦=24 𝑉</a:t>
              </a:r>
              <a:r>
                <a:rPr lang="en-S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 𝐴ℎ=240 𝑊ℎ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4622</xdr:colOff>
      <xdr:row>7</xdr:row>
      <xdr:rowOff>145228</xdr:rowOff>
    </xdr:from>
    <xdr:ext cx="3551608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1391268-34EE-442C-8E61-C223E7FA9EB9}"/>
                </a:ext>
              </a:extLst>
            </xdr:cNvPr>
            <xdr:cNvSpPr txBox="1"/>
          </xdr:nvSpPr>
          <xdr:spPr>
            <a:xfrm>
              <a:off x="7357922" y="1283466"/>
              <a:ext cx="3551608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SG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𝐸𝑛𝑒𝑟𝑔𝑦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=24 </m:t>
                    </m:r>
                    <m:r>
                      <a:rPr lang="en-SG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10 </m:t>
                        </m:r>
                        <m: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𝐴h</m:t>
                        </m:r>
                      </m:num>
                      <m:den>
                        <m: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0.5 </m:t>
                        </m:r>
                        <m:r>
                          <a:rPr lang="en-SG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den>
                    </m:f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24 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×20 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SG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=480 </m:t>
                    </m:r>
                    <m:r>
                      <a:rPr lang="en-SG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𝑊h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1391268-34EE-442C-8E61-C223E7FA9EB9}"/>
                </a:ext>
              </a:extLst>
            </xdr:cNvPr>
            <xdr:cNvSpPr txBox="1"/>
          </xdr:nvSpPr>
          <xdr:spPr>
            <a:xfrm>
              <a:off x="7357922" y="1283466"/>
              <a:ext cx="3551608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SG" sz="1100" b="0" i="0">
                  <a:latin typeface="Cambria Math" panose="02040503050406030204" pitchFamily="18" charset="0"/>
                </a:rPr>
                <a:t>𝑇𝑜𝑡𝑎𝑙 𝐸𝑛𝑒𝑟𝑔𝑦=24 𝑉</a:t>
              </a:r>
              <a:r>
                <a:rPr lang="en-S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×(10 𝐴ℎ)/(0.5 ℎ)  =</a:t>
              </a:r>
              <a:r>
                <a:rPr lang="en-SG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24 𝑉×20 𝐴=480 </a:t>
              </a:r>
              <a:r>
                <a:rPr lang="en-SG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𝑊ℎ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outlinePr summaryBelow="0" summaryRight="0"/>
  </sheetPr>
  <dimension ref="A1:Q47"/>
  <sheetViews>
    <sheetView tabSelected="1" zoomScale="87" zoomScaleNormal="103" workbookViewId="0">
      <selection activeCell="H29" sqref="H29"/>
    </sheetView>
  </sheetViews>
  <sheetFormatPr defaultColWidth="12.59765625" defaultRowHeight="15.75" customHeight="1"/>
  <cols>
    <col min="1" max="1" width="28.73046875" customWidth="1"/>
    <col min="2" max="2" width="7.265625" customWidth="1"/>
    <col min="3" max="4" width="8.59765625" customWidth="1"/>
    <col min="5" max="5" width="8.265625" customWidth="1"/>
    <col min="6" max="6" width="9" customWidth="1"/>
    <col min="7" max="7" width="19.86328125" customWidth="1"/>
    <col min="9" max="9" width="18.59765625" customWidth="1"/>
    <col min="10" max="10" width="8.59765625" customWidth="1"/>
    <col min="11" max="11" width="39.265625" customWidth="1"/>
    <col min="12" max="12" width="18.1328125" bestFit="1" customWidth="1"/>
    <col min="13" max="13" width="28" customWidth="1"/>
    <col min="14" max="15" width="15.59765625" customWidth="1"/>
    <col min="16" max="16" width="17.53125" bestFit="1" customWidth="1"/>
    <col min="17" max="17" width="15.59765625" customWidth="1"/>
    <col min="18" max="18" width="28" bestFit="1" customWidth="1"/>
    <col min="19" max="19" width="14" customWidth="1"/>
    <col min="20" max="20" width="13.3984375" bestFit="1" customWidth="1"/>
    <col min="22" max="22" width="13.46484375" customWidth="1"/>
  </cols>
  <sheetData>
    <row r="1" spans="1:17" ht="12.75">
      <c r="A1" s="105" t="s">
        <v>79</v>
      </c>
      <c r="B1" s="105"/>
      <c r="C1" s="105"/>
      <c r="D1" s="105"/>
      <c r="E1" s="105"/>
      <c r="F1" s="105"/>
      <c r="G1" s="105"/>
      <c r="J1" s="17"/>
      <c r="K1" s="17"/>
      <c r="L1" s="17"/>
      <c r="M1" s="17"/>
      <c r="N1" s="17"/>
      <c r="O1" s="18"/>
    </row>
    <row r="2" spans="1:17" ht="12.75">
      <c r="A2" s="105"/>
      <c r="B2" s="105"/>
      <c r="C2" s="105"/>
      <c r="D2" s="105"/>
      <c r="E2" s="105"/>
      <c r="F2" s="105"/>
      <c r="G2" s="105"/>
      <c r="J2" s="4"/>
      <c r="K2" s="4"/>
      <c r="L2" s="4"/>
      <c r="M2" s="4"/>
      <c r="N2" s="4"/>
      <c r="O2" s="19"/>
    </row>
    <row r="3" spans="1:17" ht="12.75">
      <c r="A3" s="35" t="s">
        <v>57</v>
      </c>
      <c r="J3" s="4"/>
      <c r="K3" s="4"/>
      <c r="L3" s="4"/>
      <c r="M3" s="4"/>
      <c r="N3" s="4"/>
      <c r="O3" s="19"/>
    </row>
    <row r="4" spans="1:17" ht="12.75">
      <c r="A4" s="3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I4" s="17" t="s">
        <v>0</v>
      </c>
      <c r="J4" s="4"/>
      <c r="K4" s="4"/>
      <c r="L4" s="4"/>
      <c r="M4" s="4"/>
      <c r="N4" s="4"/>
      <c r="O4" s="19"/>
    </row>
    <row r="5" spans="1:17" ht="12.75">
      <c r="A5" s="9" t="s">
        <v>8</v>
      </c>
      <c r="B5" s="10">
        <v>1</v>
      </c>
      <c r="C5" s="10">
        <v>2.5</v>
      </c>
      <c r="D5" s="10">
        <v>5</v>
      </c>
      <c r="E5" s="10">
        <f>C5*D5*B5</f>
        <v>12.5</v>
      </c>
      <c r="F5" s="11">
        <v>3000</v>
      </c>
      <c r="G5" s="39">
        <f>E5*F5/3600</f>
        <v>10.416666666666666</v>
      </c>
      <c r="H5" s="21" t="s">
        <v>80</v>
      </c>
      <c r="I5" s="4"/>
      <c r="J5" s="4"/>
      <c r="K5" s="4"/>
      <c r="L5" s="4"/>
      <c r="M5" s="4"/>
      <c r="N5" s="4"/>
      <c r="O5" s="19"/>
    </row>
    <row r="6" spans="1:17" ht="12.75">
      <c r="A6" s="8" t="s">
        <v>77</v>
      </c>
      <c r="B6" s="5">
        <v>1</v>
      </c>
      <c r="C6" s="7">
        <v>0.1</v>
      </c>
      <c r="D6" s="5">
        <v>5</v>
      </c>
      <c r="E6" s="5">
        <f>C6*D6*B6</f>
        <v>0.5</v>
      </c>
      <c r="F6" s="6">
        <v>3000</v>
      </c>
      <c r="G6" s="40">
        <f>E6*F6/3600</f>
        <v>0.41666666666666669</v>
      </c>
      <c r="I6" s="4"/>
      <c r="J6" s="4"/>
      <c r="K6" s="4"/>
      <c r="L6" s="4"/>
      <c r="M6" s="4"/>
      <c r="N6" s="4"/>
      <c r="O6" s="19"/>
    </row>
    <row r="7" spans="1:17" ht="13.15">
      <c r="A7" s="8" t="s">
        <v>78</v>
      </c>
      <c r="B7" s="5">
        <v>1</v>
      </c>
      <c r="C7" s="7">
        <v>0.2</v>
      </c>
      <c r="D7" s="5">
        <v>5</v>
      </c>
      <c r="E7" s="5">
        <f>C7*D7*B7</f>
        <v>1</v>
      </c>
      <c r="F7" s="6">
        <v>3000</v>
      </c>
      <c r="G7" s="40">
        <f>E7*F7/3600</f>
        <v>0.83333333333333337</v>
      </c>
      <c r="I7" s="13" t="s">
        <v>75</v>
      </c>
      <c r="J7" s="4"/>
      <c r="K7" s="4"/>
      <c r="L7" s="4"/>
      <c r="M7" s="4"/>
      <c r="N7" s="4"/>
      <c r="O7" s="19"/>
    </row>
    <row r="8" spans="1:17" ht="15.75" customHeight="1">
      <c r="B8" s="5"/>
      <c r="C8" s="5"/>
      <c r="D8" s="5"/>
      <c r="E8" s="5"/>
      <c r="F8" s="5"/>
      <c r="G8" s="41"/>
      <c r="I8" s="13"/>
      <c r="J8" s="4"/>
      <c r="K8" s="4"/>
      <c r="L8" s="4"/>
      <c r="M8" s="4"/>
      <c r="N8" s="4"/>
      <c r="O8" s="19"/>
    </row>
    <row r="9" spans="1:17" ht="13.15" customHeight="1">
      <c r="A9" s="12" t="s">
        <v>12</v>
      </c>
      <c r="B9" s="11">
        <v>4</v>
      </c>
      <c r="C9" s="37">
        <v>1.5</v>
      </c>
      <c r="D9" s="11">
        <v>7.4</v>
      </c>
      <c r="E9" s="11">
        <f>C9*D9*B9</f>
        <v>44.400000000000006</v>
      </c>
      <c r="F9" s="10">
        <v>2160</v>
      </c>
      <c r="G9" s="39">
        <f>E9*F9/3600</f>
        <v>26.640000000000004</v>
      </c>
      <c r="I9" s="4"/>
      <c r="J9" s="15"/>
      <c r="K9" s="15"/>
      <c r="L9" s="15"/>
      <c r="M9" s="15"/>
      <c r="N9" s="15"/>
      <c r="O9" s="20"/>
    </row>
    <row r="10" spans="1:17" ht="12.75" customHeight="1">
      <c r="A10" s="8" t="s">
        <v>154</v>
      </c>
      <c r="B10" s="6">
        <v>1</v>
      </c>
      <c r="C10" s="7">
        <v>0.5</v>
      </c>
      <c r="D10" s="6">
        <v>5</v>
      </c>
      <c r="E10" s="6">
        <f>C10*D10*B10</f>
        <v>2.5</v>
      </c>
      <c r="F10" s="5">
        <v>3000</v>
      </c>
      <c r="G10" s="40">
        <f>E10*F10/3600</f>
        <v>2.0833333333333335</v>
      </c>
      <c r="H10" s="21" t="s">
        <v>152</v>
      </c>
      <c r="I10" s="4"/>
      <c r="J10" s="15"/>
      <c r="K10" s="15"/>
      <c r="L10" s="15"/>
      <c r="M10" s="15"/>
      <c r="N10" s="15"/>
      <c r="O10" s="20"/>
    </row>
    <row r="11" spans="1:17" ht="12.75">
      <c r="A11" s="8" t="s">
        <v>155</v>
      </c>
      <c r="B11" s="5">
        <v>1</v>
      </c>
      <c r="C11" s="7">
        <v>0.14000000000000001</v>
      </c>
      <c r="D11" s="5">
        <v>5</v>
      </c>
      <c r="E11" s="6">
        <f>C11*D11*B11</f>
        <v>0.70000000000000007</v>
      </c>
      <c r="F11" s="5">
        <v>3000</v>
      </c>
      <c r="G11" s="40">
        <f>E11*F11/3600</f>
        <v>0.58333333333333337</v>
      </c>
      <c r="H11" s="21" t="s">
        <v>153</v>
      </c>
      <c r="I11" s="4"/>
      <c r="J11" s="4"/>
      <c r="K11" s="4"/>
      <c r="L11" s="4"/>
      <c r="M11" s="4"/>
      <c r="N11" s="4"/>
      <c r="O11" s="19"/>
    </row>
    <row r="12" spans="1:17" ht="13.15">
      <c r="G12" s="42"/>
      <c r="I12" s="98" t="s">
        <v>76</v>
      </c>
      <c r="J12" s="98"/>
      <c r="K12" s="98"/>
      <c r="L12" s="98"/>
      <c r="M12" s="98"/>
      <c r="N12" s="98"/>
      <c r="Q12" s="19"/>
    </row>
    <row r="13" spans="1:17" ht="13.15" thickBot="1">
      <c r="A13" s="9" t="s">
        <v>15</v>
      </c>
      <c r="B13" s="11">
        <v>1</v>
      </c>
      <c r="C13" s="11">
        <v>4</v>
      </c>
      <c r="D13" s="11">
        <v>24</v>
      </c>
      <c r="E13" s="11">
        <f>C13*D13*B13</f>
        <v>96</v>
      </c>
      <c r="F13" s="11">
        <v>2160</v>
      </c>
      <c r="G13" s="39">
        <f>E13*F13/3600</f>
        <v>57.6</v>
      </c>
    </row>
    <row r="14" spans="1:17" ht="16.149999999999999" thickBot="1">
      <c r="I14" s="99" t="s">
        <v>82</v>
      </c>
      <c r="J14" s="101" t="s">
        <v>83</v>
      </c>
      <c r="K14" s="99" t="s">
        <v>84</v>
      </c>
      <c r="L14" s="101" t="s">
        <v>34</v>
      </c>
      <c r="M14" s="103" t="s">
        <v>150</v>
      </c>
      <c r="N14" s="50" t="s">
        <v>85</v>
      </c>
      <c r="O14" s="93" t="s">
        <v>86</v>
      </c>
      <c r="P14" s="94"/>
    </row>
    <row r="15" spans="1:17" ht="16.5" thickTop="1" thickBot="1">
      <c r="F15" s="31" t="s">
        <v>16</v>
      </c>
      <c r="G15" s="43">
        <f>SUM(G5:G13)</f>
        <v>98.573333333333352</v>
      </c>
      <c r="I15" s="100"/>
      <c r="J15" s="102"/>
      <c r="K15" s="100"/>
      <c r="L15" s="102"/>
      <c r="M15" s="104"/>
      <c r="N15" s="51" t="s">
        <v>87</v>
      </c>
      <c r="O15" s="52" t="s">
        <v>88</v>
      </c>
      <c r="P15" s="52" t="s">
        <v>89</v>
      </c>
    </row>
    <row r="16" spans="1:17" ht="28.9" thickTop="1">
      <c r="G16" s="23" t="s">
        <v>81</v>
      </c>
      <c r="I16" s="95" t="s">
        <v>8</v>
      </c>
      <c r="J16" s="96" t="s">
        <v>90</v>
      </c>
      <c r="K16" s="53" t="s">
        <v>91</v>
      </c>
      <c r="L16" s="96" t="s">
        <v>94</v>
      </c>
      <c r="M16" s="97" t="s">
        <v>151</v>
      </c>
      <c r="N16" s="80" t="s">
        <v>95</v>
      </c>
      <c r="O16" s="56" t="s">
        <v>96</v>
      </c>
      <c r="P16" s="55" t="s">
        <v>99</v>
      </c>
    </row>
    <row r="17" spans="1:16" ht="57">
      <c r="I17" s="78"/>
      <c r="J17" s="81"/>
      <c r="K17" s="54" t="s">
        <v>92</v>
      </c>
      <c r="L17" s="81"/>
      <c r="M17" s="84"/>
      <c r="N17" s="81"/>
      <c r="O17" s="57" t="s">
        <v>97</v>
      </c>
      <c r="P17" s="59" t="s">
        <v>100</v>
      </c>
    </row>
    <row r="18" spans="1:16" ht="28.5">
      <c r="I18" s="78"/>
      <c r="J18" s="81"/>
      <c r="K18" s="54" t="s">
        <v>93</v>
      </c>
      <c r="L18" s="81"/>
      <c r="M18" s="84"/>
      <c r="N18" s="81"/>
      <c r="O18" s="57" t="s">
        <v>98</v>
      </c>
      <c r="P18" s="59" t="s">
        <v>101</v>
      </c>
    </row>
    <row r="19" spans="1:16" ht="22.5" thickBot="1">
      <c r="I19" s="78"/>
      <c r="J19" s="81"/>
      <c r="K19" s="74" t="s">
        <v>149</v>
      </c>
      <c r="L19" s="81"/>
      <c r="M19" s="84"/>
      <c r="N19" s="81"/>
      <c r="O19" s="58"/>
      <c r="P19" s="60"/>
    </row>
    <row r="20" spans="1:16" ht="28.5">
      <c r="A20" t="s">
        <v>22</v>
      </c>
      <c r="C20" t="s">
        <v>20</v>
      </c>
      <c r="I20" s="77" t="s">
        <v>147</v>
      </c>
      <c r="J20" s="80" t="s">
        <v>102</v>
      </c>
      <c r="K20" s="62" t="s">
        <v>103</v>
      </c>
      <c r="L20" s="80" t="s">
        <v>94</v>
      </c>
      <c r="M20" s="90" t="s">
        <v>151</v>
      </c>
      <c r="N20" s="80" t="s">
        <v>95</v>
      </c>
      <c r="O20" s="64" t="s">
        <v>105</v>
      </c>
      <c r="P20" s="55" t="s">
        <v>107</v>
      </c>
    </row>
    <row r="21" spans="1:16" ht="28.5">
      <c r="A21" s="1" t="s">
        <v>18</v>
      </c>
      <c r="C21" t="s">
        <v>17</v>
      </c>
      <c r="E21" s="14"/>
      <c r="I21" s="78"/>
      <c r="J21" s="81"/>
      <c r="K21" s="74" t="s">
        <v>148</v>
      </c>
      <c r="L21" s="81"/>
      <c r="M21" s="84"/>
      <c r="N21" s="81"/>
      <c r="O21" s="65" t="s">
        <v>106</v>
      </c>
      <c r="P21" s="76" t="s">
        <v>108</v>
      </c>
    </row>
    <row r="22" spans="1:16" ht="14.65" thickBot="1">
      <c r="A22" s="1" t="s">
        <v>19</v>
      </c>
      <c r="C22" s="31" t="s">
        <v>21</v>
      </c>
      <c r="F22" s="31"/>
      <c r="I22" s="78"/>
      <c r="J22" s="81"/>
      <c r="K22" s="63" t="s">
        <v>104</v>
      </c>
      <c r="L22" s="81"/>
      <c r="M22" s="84"/>
      <c r="N22" s="81"/>
      <c r="O22" s="66"/>
      <c r="P22" s="59" t="s">
        <v>109</v>
      </c>
    </row>
    <row r="23" spans="1:16" ht="14.25">
      <c r="I23" s="78"/>
      <c r="J23" s="81"/>
      <c r="K23" s="62" t="s">
        <v>110</v>
      </c>
      <c r="L23" s="81"/>
      <c r="M23" s="84"/>
      <c r="N23" s="81"/>
      <c r="O23" s="66"/>
      <c r="P23" s="60"/>
    </row>
    <row r="24" spans="1:16" ht="28.9" thickBot="1">
      <c r="A24" t="s">
        <v>23</v>
      </c>
      <c r="B24" t="s">
        <v>29</v>
      </c>
      <c r="C24" t="s">
        <v>24</v>
      </c>
      <c r="F24" t="s">
        <v>25</v>
      </c>
      <c r="I24" s="79"/>
      <c r="J24" s="82"/>
      <c r="K24" s="74" t="s">
        <v>148</v>
      </c>
      <c r="L24" s="82"/>
      <c r="M24" s="85"/>
      <c r="N24" s="82"/>
      <c r="O24" s="67"/>
      <c r="P24" s="75" t="s">
        <v>116</v>
      </c>
    </row>
    <row r="25" spans="1:16" ht="14.25">
      <c r="A25" t="s">
        <v>26</v>
      </c>
      <c r="B25" t="s">
        <v>28</v>
      </c>
      <c r="C25" t="s">
        <v>27</v>
      </c>
      <c r="I25" s="77" t="s">
        <v>111</v>
      </c>
      <c r="J25" s="80" t="s">
        <v>90</v>
      </c>
      <c r="K25" s="88" t="s">
        <v>112</v>
      </c>
      <c r="L25" s="80" t="s">
        <v>113</v>
      </c>
      <c r="M25" s="90" t="s">
        <v>151</v>
      </c>
      <c r="N25" s="80" t="s">
        <v>95</v>
      </c>
      <c r="O25" s="68" t="s">
        <v>114</v>
      </c>
      <c r="P25" s="86" t="s">
        <v>43</v>
      </c>
    </row>
    <row r="26" spans="1:16" ht="14.65" thickBot="1">
      <c r="I26" s="79"/>
      <c r="J26" s="82"/>
      <c r="K26" s="89"/>
      <c r="L26" s="82"/>
      <c r="M26" s="85"/>
      <c r="N26" s="82"/>
      <c r="O26" s="69" t="s">
        <v>115</v>
      </c>
      <c r="P26" s="87"/>
    </row>
    <row r="27" spans="1:16" ht="14.25">
      <c r="I27" s="77" t="s">
        <v>117</v>
      </c>
      <c r="J27" s="80" t="s">
        <v>90</v>
      </c>
      <c r="K27" s="88" t="s">
        <v>118</v>
      </c>
      <c r="L27" s="80" t="s">
        <v>94</v>
      </c>
      <c r="M27" s="90" t="s">
        <v>151</v>
      </c>
      <c r="N27" s="80" t="s">
        <v>95</v>
      </c>
      <c r="O27" s="68" t="s">
        <v>114</v>
      </c>
      <c r="P27" s="91" t="s">
        <v>43</v>
      </c>
    </row>
    <row r="28" spans="1:16" ht="14.65" thickBot="1">
      <c r="I28" s="79"/>
      <c r="J28" s="82"/>
      <c r="K28" s="89"/>
      <c r="L28" s="82"/>
      <c r="M28" s="85"/>
      <c r="N28" s="82"/>
      <c r="O28" s="69" t="s">
        <v>119</v>
      </c>
      <c r="P28" s="92"/>
    </row>
    <row r="29" spans="1:16" ht="28.5">
      <c r="I29" s="77" t="s">
        <v>120</v>
      </c>
      <c r="J29" s="80" t="s">
        <v>121</v>
      </c>
      <c r="K29" s="62" t="s">
        <v>122</v>
      </c>
      <c r="L29" s="80" t="s">
        <v>43</v>
      </c>
      <c r="M29" s="72" t="s">
        <v>124</v>
      </c>
      <c r="N29" s="80" t="s">
        <v>130</v>
      </c>
      <c r="O29" s="83" t="s">
        <v>43</v>
      </c>
      <c r="P29" s="55" t="s">
        <v>131</v>
      </c>
    </row>
    <row r="30" spans="1:16" ht="28.5">
      <c r="I30" s="78"/>
      <c r="J30" s="81"/>
      <c r="K30" s="54" t="s">
        <v>123</v>
      </c>
      <c r="L30" s="81"/>
      <c r="M30" s="54" t="s">
        <v>125</v>
      </c>
      <c r="N30" s="81"/>
      <c r="O30" s="84"/>
      <c r="P30" s="59" t="s">
        <v>132</v>
      </c>
    </row>
    <row r="31" spans="1:16" ht="14.25">
      <c r="I31" s="78"/>
      <c r="J31" s="81"/>
      <c r="K31" s="70"/>
      <c r="L31" s="81"/>
      <c r="M31" s="54" t="s">
        <v>126</v>
      </c>
      <c r="N31" s="81"/>
      <c r="O31" s="84"/>
      <c r="P31" s="60"/>
    </row>
    <row r="32" spans="1:16" ht="28.5">
      <c r="I32" s="78"/>
      <c r="J32" s="81"/>
      <c r="K32" s="70"/>
      <c r="L32" s="81"/>
      <c r="M32" s="54" t="s">
        <v>127</v>
      </c>
      <c r="N32" s="81"/>
      <c r="O32" s="84"/>
      <c r="P32" s="60"/>
    </row>
    <row r="33" spans="9:16" ht="28.5">
      <c r="I33" s="78"/>
      <c r="J33" s="81"/>
      <c r="K33" s="70"/>
      <c r="L33" s="81"/>
      <c r="M33" s="54" t="s">
        <v>128</v>
      </c>
      <c r="N33" s="81"/>
      <c r="O33" s="84"/>
      <c r="P33" s="60"/>
    </row>
    <row r="34" spans="9:16" ht="14.65" thickBot="1">
      <c r="I34" s="78"/>
      <c r="J34" s="81"/>
      <c r="K34" s="70"/>
      <c r="L34" s="82"/>
      <c r="M34" s="73" t="s">
        <v>129</v>
      </c>
      <c r="N34" s="81"/>
      <c r="O34" s="84"/>
      <c r="P34" s="61"/>
    </row>
    <row r="35" spans="9:16" ht="28.5">
      <c r="I35" s="78"/>
      <c r="J35" s="81"/>
      <c r="K35" s="70"/>
      <c r="L35" s="80" t="s">
        <v>43</v>
      </c>
      <c r="M35" s="72" t="s">
        <v>124</v>
      </c>
      <c r="N35" s="81"/>
      <c r="O35" s="84"/>
      <c r="P35" s="55" t="s">
        <v>137</v>
      </c>
    </row>
    <row r="36" spans="9:16" ht="28.5">
      <c r="I36" s="78"/>
      <c r="J36" s="81"/>
      <c r="K36" s="70"/>
      <c r="L36" s="81"/>
      <c r="M36" s="54" t="s">
        <v>133</v>
      </c>
      <c r="N36" s="81"/>
      <c r="O36" s="84"/>
      <c r="P36" s="59" t="s">
        <v>138</v>
      </c>
    </row>
    <row r="37" spans="9:16" ht="14.25">
      <c r="I37" s="78"/>
      <c r="J37" s="81"/>
      <c r="K37" s="70"/>
      <c r="L37" s="81"/>
      <c r="M37" s="54" t="s">
        <v>126</v>
      </c>
      <c r="N37" s="81"/>
      <c r="O37" s="84"/>
      <c r="P37" s="60"/>
    </row>
    <row r="38" spans="9:16" ht="28.5">
      <c r="I38" s="78"/>
      <c r="J38" s="81"/>
      <c r="K38" s="70"/>
      <c r="L38" s="81"/>
      <c r="M38" s="54" t="s">
        <v>134</v>
      </c>
      <c r="N38" s="81"/>
      <c r="O38" s="84"/>
      <c r="P38" s="60"/>
    </row>
    <row r="39" spans="9:16" ht="28.5">
      <c r="I39" s="78"/>
      <c r="J39" s="81"/>
      <c r="K39" s="70"/>
      <c r="L39" s="81"/>
      <c r="M39" s="54" t="s">
        <v>135</v>
      </c>
      <c r="N39" s="81"/>
      <c r="O39" s="84"/>
      <c r="P39" s="60"/>
    </row>
    <row r="40" spans="9:16" ht="14.65" thickBot="1">
      <c r="I40" s="78"/>
      <c r="J40" s="81"/>
      <c r="K40" s="70"/>
      <c r="L40" s="82"/>
      <c r="M40" s="73" t="s">
        <v>136</v>
      </c>
      <c r="N40" s="81"/>
      <c r="O40" s="84"/>
      <c r="P40" s="61"/>
    </row>
    <row r="41" spans="9:16" ht="28.5">
      <c r="I41" s="78"/>
      <c r="J41" s="81"/>
      <c r="K41" s="70"/>
      <c r="L41" s="80" t="s">
        <v>139</v>
      </c>
      <c r="M41" s="72" t="s">
        <v>140</v>
      </c>
      <c r="N41" s="81"/>
      <c r="O41" s="84"/>
      <c r="P41" s="55" t="s">
        <v>145</v>
      </c>
    </row>
    <row r="42" spans="9:16" ht="28.5">
      <c r="I42" s="78"/>
      <c r="J42" s="81"/>
      <c r="K42" s="70"/>
      <c r="L42" s="81"/>
      <c r="M42" s="54" t="s">
        <v>133</v>
      </c>
      <c r="N42" s="81"/>
      <c r="O42" s="84"/>
      <c r="P42" s="59" t="s">
        <v>146</v>
      </c>
    </row>
    <row r="43" spans="9:16" ht="28.5">
      <c r="I43" s="78"/>
      <c r="J43" s="81"/>
      <c r="K43" s="70"/>
      <c r="L43" s="81"/>
      <c r="M43" s="54" t="s">
        <v>141</v>
      </c>
      <c r="N43" s="81"/>
      <c r="O43" s="84"/>
      <c r="P43" s="60"/>
    </row>
    <row r="44" spans="9:16" ht="14.25">
      <c r="I44" s="78"/>
      <c r="J44" s="81"/>
      <c r="K44" s="70"/>
      <c r="L44" s="81"/>
      <c r="M44" s="54" t="s">
        <v>142</v>
      </c>
      <c r="N44" s="81"/>
      <c r="O44" s="84"/>
      <c r="P44" s="60"/>
    </row>
    <row r="45" spans="9:16" ht="14.25">
      <c r="I45" s="78"/>
      <c r="J45" s="81"/>
      <c r="K45" s="70"/>
      <c r="L45" s="81"/>
      <c r="M45" s="54" t="s">
        <v>143</v>
      </c>
      <c r="N45" s="81"/>
      <c r="O45" s="84"/>
      <c r="P45" s="60"/>
    </row>
    <row r="46" spans="9:16" ht="28.5">
      <c r="I46" s="78"/>
      <c r="J46" s="81"/>
      <c r="K46" s="70"/>
      <c r="L46" s="81"/>
      <c r="M46" s="54" t="s">
        <v>128</v>
      </c>
      <c r="N46" s="81"/>
      <c r="O46" s="84"/>
      <c r="P46" s="60"/>
    </row>
    <row r="47" spans="9:16" ht="14.65" thickBot="1">
      <c r="I47" s="79"/>
      <c r="J47" s="82"/>
      <c r="K47" s="71"/>
      <c r="L47" s="82"/>
      <c r="M47" s="73" t="s">
        <v>144</v>
      </c>
      <c r="N47" s="82"/>
      <c r="O47" s="85"/>
      <c r="P47" s="61"/>
    </row>
  </sheetData>
  <mergeCells count="39">
    <mergeCell ref="A1:G2"/>
    <mergeCell ref="I12:N12"/>
    <mergeCell ref="I14:I15"/>
    <mergeCell ref="J14:J15"/>
    <mergeCell ref="K14:K15"/>
    <mergeCell ref="L14:L15"/>
    <mergeCell ref="M14:M15"/>
    <mergeCell ref="O14:P14"/>
    <mergeCell ref="I16:I19"/>
    <mergeCell ref="J16:J19"/>
    <mergeCell ref="L16:L19"/>
    <mergeCell ref="M16:M19"/>
    <mergeCell ref="N16:N19"/>
    <mergeCell ref="I20:I24"/>
    <mergeCell ref="J20:J24"/>
    <mergeCell ref="L20:L24"/>
    <mergeCell ref="M20:M24"/>
    <mergeCell ref="N20:N24"/>
    <mergeCell ref="N25:N26"/>
    <mergeCell ref="P25:P26"/>
    <mergeCell ref="I27:I28"/>
    <mergeCell ref="J27:J28"/>
    <mergeCell ref="K27:K28"/>
    <mergeCell ref="L27:L28"/>
    <mergeCell ref="M27:M28"/>
    <mergeCell ref="N27:N28"/>
    <mergeCell ref="P27:P28"/>
    <mergeCell ref="I25:I26"/>
    <mergeCell ref="J25:J26"/>
    <mergeCell ref="K25:K26"/>
    <mergeCell ref="L25:L26"/>
    <mergeCell ref="M25:M26"/>
    <mergeCell ref="I29:I47"/>
    <mergeCell ref="J29:J47"/>
    <mergeCell ref="L29:L34"/>
    <mergeCell ref="N29:N47"/>
    <mergeCell ref="O29:O47"/>
    <mergeCell ref="L35:L40"/>
    <mergeCell ref="L41:L4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3A0E-4180-42FE-AAD0-58731E5DEA29}">
  <sheetPr>
    <tabColor theme="7"/>
    <outlinePr summaryBelow="0" summaryRight="0"/>
  </sheetPr>
  <dimension ref="A1:X51"/>
  <sheetViews>
    <sheetView topLeftCell="A21" zoomScale="88" zoomScaleNormal="169" workbookViewId="0">
      <selection activeCell="Q29" sqref="Q29"/>
    </sheetView>
  </sheetViews>
  <sheetFormatPr defaultColWidth="12.59765625" defaultRowHeight="15.75" customHeight="1"/>
  <cols>
    <col min="1" max="1" width="25.73046875" bestFit="1" customWidth="1"/>
    <col min="2" max="2" width="14.73046875" customWidth="1"/>
    <col min="3" max="3" width="8.53125" customWidth="1"/>
    <col min="4" max="4" width="17.59765625" bestFit="1" customWidth="1"/>
    <col min="5" max="5" width="7.3984375" customWidth="1"/>
    <col min="6" max="6" width="18.06640625" customWidth="1"/>
    <col min="7" max="7" width="15.53125" customWidth="1"/>
    <col min="8" max="8" width="17.53125" bestFit="1" customWidth="1"/>
    <col min="9" max="9" width="12.53125" customWidth="1"/>
    <col min="10" max="10" width="24.6640625" customWidth="1"/>
    <col min="11" max="11" width="15.59765625" customWidth="1"/>
    <col min="12" max="12" width="18.1328125" bestFit="1" customWidth="1"/>
    <col min="13" max="15" width="15.59765625" customWidth="1"/>
    <col min="16" max="16" width="17.53125" bestFit="1" customWidth="1"/>
    <col min="17" max="17" width="15.59765625" customWidth="1"/>
    <col min="18" max="18" width="28" bestFit="1" customWidth="1"/>
    <col min="19" max="19" width="14" customWidth="1"/>
    <col min="20" max="20" width="13.3984375" bestFit="1" customWidth="1"/>
    <col min="22" max="22" width="13.46484375" customWidth="1"/>
  </cols>
  <sheetData>
    <row r="1" spans="15:17" ht="12.75">
      <c r="O1" s="18"/>
    </row>
    <row r="2" spans="15:17" ht="12.75">
      <c r="O2" s="19"/>
    </row>
    <row r="3" spans="15:17" ht="12.75">
      <c r="O3" s="19"/>
    </row>
    <row r="4" spans="15:17" ht="12.75">
      <c r="O4" s="19"/>
    </row>
    <row r="5" spans="15:17" ht="12.75">
      <c r="O5" s="19"/>
    </row>
    <row r="6" spans="15:17" ht="12.75">
      <c r="O6" s="19"/>
    </row>
    <row r="7" spans="15:17" ht="12.75">
      <c r="O7" s="19"/>
    </row>
    <row r="8" spans="15:17" ht="15.75" customHeight="1">
      <c r="O8" s="19"/>
    </row>
    <row r="9" spans="15:17" ht="13.15" customHeight="1">
      <c r="O9" s="20"/>
    </row>
    <row r="10" spans="15:17" ht="12.75" customHeight="1">
      <c r="O10" s="20"/>
    </row>
    <row r="11" spans="15:17" ht="12.75">
      <c r="O11" s="19"/>
    </row>
    <row r="12" spans="15:17" ht="12.75">
      <c r="Q12" s="19"/>
    </row>
    <row r="13" spans="15:17" ht="12.75">
      <c r="Q13" s="19"/>
    </row>
    <row r="14" spans="15:17" ht="12.75">
      <c r="Q14" s="19"/>
    </row>
    <row r="25" spans="1:11" ht="12.75"/>
    <row r="29" spans="1:11" ht="15.75" customHeight="1">
      <c r="B29" s="132" t="s">
        <v>30</v>
      </c>
      <c r="C29" s="132"/>
      <c r="D29" s="132"/>
      <c r="E29" s="132"/>
      <c r="F29" s="132"/>
      <c r="G29" s="132"/>
      <c r="H29" s="132"/>
      <c r="I29" s="132"/>
      <c r="J29" s="22"/>
      <c r="K29" s="31" t="s">
        <v>55</v>
      </c>
    </row>
    <row r="30" spans="1:11" ht="15.75" customHeight="1">
      <c r="A30" s="28" t="s">
        <v>36</v>
      </c>
      <c r="B30" s="129" t="s">
        <v>37</v>
      </c>
      <c r="C30" s="129"/>
      <c r="D30" s="129"/>
      <c r="E30" s="130"/>
      <c r="F30" s="130"/>
      <c r="G30" s="130"/>
      <c r="H30" s="130"/>
      <c r="I30" s="130"/>
      <c r="J30" s="16" t="s">
        <v>43</v>
      </c>
    </row>
    <row r="31" spans="1:11" ht="15.75" customHeight="1">
      <c r="A31" s="29" t="s">
        <v>38</v>
      </c>
      <c r="B31" s="135" t="s">
        <v>51</v>
      </c>
      <c r="C31" s="135"/>
      <c r="D31" s="135"/>
      <c r="E31" s="130"/>
      <c r="F31" s="130"/>
      <c r="G31" s="130"/>
      <c r="H31" s="130"/>
      <c r="I31" s="130"/>
      <c r="J31" s="16">
        <f>3*60</f>
        <v>180</v>
      </c>
    </row>
    <row r="32" spans="1:11" ht="15.75" customHeight="1">
      <c r="A32" s="29" t="s">
        <v>35</v>
      </c>
      <c r="B32" s="129">
        <v>12</v>
      </c>
      <c r="C32" s="129"/>
      <c r="D32" s="129"/>
      <c r="E32" s="130"/>
      <c r="F32" s="130"/>
      <c r="G32" s="130"/>
      <c r="H32" s="130"/>
      <c r="I32" s="130"/>
      <c r="J32" s="16">
        <f>B32*J31</f>
        <v>2160</v>
      </c>
    </row>
    <row r="33" spans="1:11" ht="15.75" customHeight="1">
      <c r="A33" s="29" t="s">
        <v>40</v>
      </c>
      <c r="B33" s="129" t="s">
        <v>60</v>
      </c>
      <c r="C33" s="129"/>
      <c r="D33" s="129"/>
      <c r="E33" s="130"/>
      <c r="F33" s="130"/>
      <c r="G33" s="130"/>
      <c r="H33" s="130"/>
      <c r="I33" s="130"/>
      <c r="J33" s="16">
        <f>60*(12-1)</f>
        <v>660</v>
      </c>
      <c r="K33" t="s">
        <v>61</v>
      </c>
    </row>
    <row r="34" spans="1:11" ht="15.75" customHeight="1">
      <c r="A34" s="46" t="s">
        <v>70</v>
      </c>
      <c r="B34" s="123" t="s">
        <v>71</v>
      </c>
      <c r="C34" s="130"/>
      <c r="D34" s="130"/>
      <c r="E34" s="130"/>
      <c r="F34" s="130"/>
      <c r="G34" s="130"/>
      <c r="H34" s="130"/>
      <c r="I34" s="130"/>
      <c r="J34" s="47">
        <v>15</v>
      </c>
      <c r="K34" s="24" t="s">
        <v>72</v>
      </c>
    </row>
    <row r="35" spans="1:11" ht="15.75" customHeight="1">
      <c r="A35" s="29" t="s">
        <v>34</v>
      </c>
      <c r="B35" s="131" t="s">
        <v>31</v>
      </c>
      <c r="C35" s="132"/>
      <c r="D35" s="132"/>
      <c r="E35" s="132"/>
      <c r="F35" s="132" t="s">
        <v>32</v>
      </c>
      <c r="G35" s="132"/>
      <c r="H35" s="132"/>
      <c r="I35" s="133"/>
      <c r="J35" s="44"/>
    </row>
    <row r="36" spans="1:11" ht="15.75" customHeight="1">
      <c r="A36" s="29"/>
      <c r="B36" s="134" t="s">
        <v>44</v>
      </c>
      <c r="C36" s="134"/>
      <c r="D36" s="134" t="s">
        <v>33</v>
      </c>
      <c r="E36" s="134"/>
      <c r="F36" s="134" t="s">
        <v>44</v>
      </c>
      <c r="G36" s="134"/>
      <c r="H36" s="134" t="s">
        <v>33</v>
      </c>
      <c r="I36" s="134"/>
      <c r="J36" s="45"/>
    </row>
    <row r="37" spans="1:11" ht="15.75" customHeight="1">
      <c r="A37" s="29" t="s">
        <v>39</v>
      </c>
      <c r="B37" s="122" t="s">
        <v>45</v>
      </c>
      <c r="C37" s="116"/>
      <c r="D37" s="116"/>
      <c r="E37" s="116"/>
      <c r="F37" s="116"/>
      <c r="G37" s="116"/>
      <c r="H37" s="116"/>
      <c r="I37" s="123"/>
      <c r="J37" s="45"/>
    </row>
    <row r="38" spans="1:11" ht="15.75" customHeight="1">
      <c r="A38" s="124" t="s">
        <v>64</v>
      </c>
      <c r="B38" s="125">
        <v>1</v>
      </c>
      <c r="C38" s="126"/>
      <c r="D38" s="126" t="s">
        <v>46</v>
      </c>
      <c r="E38" s="126"/>
      <c r="F38" s="126">
        <v>1</v>
      </c>
      <c r="G38" s="126"/>
      <c r="H38" s="126" t="s">
        <v>48</v>
      </c>
      <c r="I38" s="127"/>
      <c r="J38" s="45"/>
    </row>
    <row r="39" spans="1:11" ht="15.75" customHeight="1">
      <c r="A39" s="124"/>
      <c r="B39" s="128" t="s">
        <v>47</v>
      </c>
      <c r="C39" s="112" t="s">
        <v>62</v>
      </c>
      <c r="D39" s="112" t="s">
        <v>63</v>
      </c>
      <c r="E39" s="112" t="s">
        <v>29</v>
      </c>
      <c r="F39" s="112" t="s">
        <v>47</v>
      </c>
      <c r="G39" s="112" t="s">
        <v>62</v>
      </c>
      <c r="H39" s="16" t="s">
        <v>49</v>
      </c>
      <c r="I39" s="27" t="s">
        <v>62</v>
      </c>
      <c r="J39" s="45"/>
    </row>
    <row r="40" spans="1:11" ht="15.75" customHeight="1">
      <c r="A40" s="124"/>
      <c r="B40" s="109"/>
      <c r="C40" s="113"/>
      <c r="D40" s="113"/>
      <c r="E40" s="113"/>
      <c r="F40" s="113"/>
      <c r="G40" s="113"/>
      <c r="H40" s="16" t="s">
        <v>50</v>
      </c>
      <c r="I40" s="27" t="s">
        <v>52</v>
      </c>
      <c r="J40" s="45"/>
    </row>
    <row r="41" spans="1:11" ht="14.25" customHeight="1">
      <c r="A41" s="29" t="s">
        <v>41</v>
      </c>
      <c r="B41" s="32" t="s">
        <v>56</v>
      </c>
      <c r="C41" s="33" t="s">
        <v>65</v>
      </c>
      <c r="D41" s="34" t="s">
        <v>56</v>
      </c>
      <c r="E41" s="33" t="s">
        <v>52</v>
      </c>
      <c r="F41" s="114"/>
      <c r="G41" s="114"/>
      <c r="H41" s="114"/>
      <c r="I41" s="114"/>
      <c r="J41" s="45"/>
    </row>
    <row r="42" spans="1:11" ht="15.75" customHeight="1">
      <c r="A42" s="30" t="s">
        <v>42</v>
      </c>
      <c r="B42" s="115"/>
      <c r="C42" s="115"/>
      <c r="D42" s="115"/>
      <c r="E42" s="115"/>
      <c r="F42" s="116" t="s">
        <v>53</v>
      </c>
      <c r="G42" s="116"/>
      <c r="H42" s="116"/>
      <c r="I42" s="116"/>
      <c r="J42" s="45"/>
    </row>
    <row r="43" spans="1:11" ht="34.25" customHeight="1">
      <c r="A43" s="117" t="s">
        <v>54</v>
      </c>
      <c r="B43" s="119">
        <f>3.2*12*(180/3.2)</f>
        <v>2160.0000000000005</v>
      </c>
      <c r="C43" s="120"/>
      <c r="D43" s="117">
        <f>4*12*(180/4)</f>
        <v>2160</v>
      </c>
      <c r="E43" s="121"/>
      <c r="F43" s="117">
        <f>0.4*(180/0.4)*12</f>
        <v>2160</v>
      </c>
      <c r="G43" s="121"/>
      <c r="H43" s="117">
        <f>4*12*(180/4)</f>
        <v>2160</v>
      </c>
      <c r="I43" s="121"/>
      <c r="J43" s="106">
        <f>J32+J33+J34</f>
        <v>2835</v>
      </c>
    </row>
    <row r="44" spans="1:11" ht="15.75" customHeight="1">
      <c r="A44" s="118"/>
      <c r="B44" s="108" t="s">
        <v>66</v>
      </c>
      <c r="C44" s="109"/>
      <c r="D44" s="110" t="s">
        <v>67</v>
      </c>
      <c r="E44" s="111"/>
      <c r="F44" s="110" t="s">
        <v>68</v>
      </c>
      <c r="G44" s="111"/>
      <c r="H44" s="110" t="s">
        <v>69</v>
      </c>
      <c r="I44" s="111"/>
      <c r="J44" s="107"/>
    </row>
    <row r="45" spans="1:11" ht="75.400000000000006">
      <c r="J45" s="48" t="s">
        <v>73</v>
      </c>
      <c r="K45" s="49" t="s">
        <v>74</v>
      </c>
    </row>
    <row r="49" spans="20:24" ht="15.75" customHeight="1">
      <c r="T49" s="24"/>
      <c r="X49" s="24"/>
    </row>
    <row r="50" spans="20:24" ht="15.75" customHeight="1">
      <c r="T50" s="25"/>
      <c r="V50" s="21"/>
    </row>
    <row r="51" spans="20:24" ht="15.75" customHeight="1">
      <c r="T51" s="25"/>
      <c r="U51" s="26"/>
      <c r="V51" s="21"/>
    </row>
  </sheetData>
  <mergeCells count="37">
    <mergeCell ref="B29:I29"/>
    <mergeCell ref="B30:I30"/>
    <mergeCell ref="B31:I31"/>
    <mergeCell ref="B32:I32"/>
    <mergeCell ref="B33:I33"/>
    <mergeCell ref="B34:I34"/>
    <mergeCell ref="B35:E35"/>
    <mergeCell ref="F35:I35"/>
    <mergeCell ref="B36:C36"/>
    <mergeCell ref="D36:E36"/>
    <mergeCell ref="F36:G36"/>
    <mergeCell ref="H36:I36"/>
    <mergeCell ref="B37:I37"/>
    <mergeCell ref="A38:A40"/>
    <mergeCell ref="B38:C38"/>
    <mergeCell ref="D38:E38"/>
    <mergeCell ref="F38:G38"/>
    <mergeCell ref="H38:I38"/>
    <mergeCell ref="B39:B40"/>
    <mergeCell ref="C39:C40"/>
    <mergeCell ref="D39:D40"/>
    <mergeCell ref="E39:E40"/>
    <mergeCell ref="A43:A44"/>
    <mergeCell ref="B43:C43"/>
    <mergeCell ref="D43:E43"/>
    <mergeCell ref="F43:G43"/>
    <mergeCell ref="H43:I43"/>
    <mergeCell ref="F39:F40"/>
    <mergeCell ref="G39:G40"/>
    <mergeCell ref="F41:I41"/>
    <mergeCell ref="B42:E42"/>
    <mergeCell ref="F42:I42"/>
    <mergeCell ref="J43:J44"/>
    <mergeCell ref="B44:C44"/>
    <mergeCell ref="D44:E44"/>
    <mergeCell ref="F44:G44"/>
    <mergeCell ref="H44:I4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1B36-EDC2-4D98-A6A2-9875802FD1FC}">
  <sheetPr>
    <tabColor theme="0"/>
    <outlinePr summaryBelow="0" summaryRight="0"/>
  </sheetPr>
  <dimension ref="A1:Q43"/>
  <sheetViews>
    <sheetView zoomScale="54" zoomScaleNormal="169" workbookViewId="0">
      <selection activeCell="L25" sqref="L25"/>
    </sheetView>
  </sheetViews>
  <sheetFormatPr defaultColWidth="12.59765625" defaultRowHeight="15.75" customHeight="1"/>
  <cols>
    <col min="1" max="1" width="28.73046875" customWidth="1"/>
    <col min="2" max="2" width="7.265625" customWidth="1"/>
    <col min="3" max="4" width="8.59765625" customWidth="1"/>
    <col min="5" max="5" width="8.265625" customWidth="1"/>
    <col min="6" max="6" width="9" customWidth="1"/>
    <col min="7" max="7" width="19.86328125" customWidth="1"/>
    <col min="9" max="9" width="18.59765625" customWidth="1"/>
    <col min="10" max="11" width="15.59765625" customWidth="1"/>
    <col min="12" max="12" width="18.1328125" bestFit="1" customWidth="1"/>
    <col min="13" max="15" width="15.59765625" customWidth="1"/>
    <col min="16" max="16" width="17.53125" bestFit="1" customWidth="1"/>
    <col min="17" max="17" width="15.59765625" customWidth="1"/>
    <col min="18" max="18" width="28" bestFit="1" customWidth="1"/>
    <col min="19" max="19" width="14" customWidth="1"/>
    <col min="20" max="20" width="13.3984375" bestFit="1" customWidth="1"/>
    <col min="22" max="22" width="13.46484375" customWidth="1"/>
  </cols>
  <sheetData>
    <row r="1" spans="1:17" ht="12.75">
      <c r="J1" s="17"/>
      <c r="K1" s="17"/>
      <c r="L1" s="17"/>
      <c r="M1" s="17"/>
      <c r="N1" s="17"/>
      <c r="O1" s="18"/>
    </row>
    <row r="2" spans="1:17" ht="12.75">
      <c r="J2" s="4"/>
      <c r="K2" s="4"/>
      <c r="L2" s="4"/>
      <c r="M2" s="4"/>
      <c r="N2" s="4"/>
      <c r="O2" s="19"/>
    </row>
    <row r="3" spans="1:17" ht="12.75">
      <c r="A3" s="3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J3" s="4"/>
      <c r="K3" s="4"/>
      <c r="L3" s="4"/>
      <c r="M3" s="4"/>
      <c r="N3" s="4"/>
      <c r="O3" s="19"/>
    </row>
    <row r="4" spans="1:17" ht="12.75">
      <c r="A4" s="9" t="s">
        <v>8</v>
      </c>
      <c r="B4" s="10">
        <v>1</v>
      </c>
      <c r="C4" s="10">
        <v>2.6</v>
      </c>
      <c r="D4" s="10">
        <v>5</v>
      </c>
      <c r="E4" s="36">
        <f>C4*D4*B4</f>
        <v>13</v>
      </c>
      <c r="F4" s="37">
        <v>1800</v>
      </c>
      <c r="G4" s="37">
        <f>E4*F4/3600</f>
        <v>6.5</v>
      </c>
      <c r="I4" s="17" t="s">
        <v>0</v>
      </c>
      <c r="J4" s="4"/>
      <c r="K4" s="4"/>
      <c r="L4" s="4"/>
      <c r="M4" s="4"/>
      <c r="N4" s="4"/>
      <c r="O4" s="19"/>
    </row>
    <row r="5" spans="1:17" ht="12.75">
      <c r="A5" s="1" t="s">
        <v>9</v>
      </c>
      <c r="B5" s="5">
        <v>1</v>
      </c>
      <c r="C5" s="7">
        <v>0.1</v>
      </c>
      <c r="D5" s="5">
        <v>5</v>
      </c>
      <c r="E5" s="7">
        <f>C5*D5*B5</f>
        <v>0.5</v>
      </c>
      <c r="F5" s="38">
        <v>1800</v>
      </c>
      <c r="G5" s="38">
        <f t="shared" ref="G5:G6" si="0">E5*F5/3600</f>
        <v>0.25</v>
      </c>
      <c r="I5" s="4"/>
      <c r="J5" s="4"/>
      <c r="K5" s="4"/>
      <c r="L5" s="4"/>
      <c r="M5" s="4"/>
      <c r="N5" s="4"/>
      <c r="O5" s="19"/>
    </row>
    <row r="6" spans="1:17" ht="12.75">
      <c r="A6" s="1" t="s">
        <v>11</v>
      </c>
      <c r="B6" s="5">
        <v>1</v>
      </c>
      <c r="C6" s="7">
        <v>0.2</v>
      </c>
      <c r="D6" s="5">
        <v>5</v>
      </c>
      <c r="E6" s="7">
        <f>C6*D6*B6</f>
        <v>1</v>
      </c>
      <c r="F6" s="38">
        <v>1800</v>
      </c>
      <c r="G6" s="38">
        <f t="shared" si="0"/>
        <v>0.5</v>
      </c>
      <c r="I6" s="4"/>
      <c r="J6" s="4"/>
      <c r="K6" s="4"/>
      <c r="L6" s="4"/>
      <c r="M6" s="4"/>
      <c r="N6" s="4"/>
      <c r="O6" s="19"/>
    </row>
    <row r="7" spans="1:17" ht="13.15">
      <c r="B7" s="5"/>
      <c r="C7" s="5"/>
      <c r="D7" s="5"/>
      <c r="E7" s="5"/>
      <c r="F7" s="5"/>
      <c r="G7" s="5"/>
      <c r="I7" s="13" t="s">
        <v>10</v>
      </c>
      <c r="J7" s="4"/>
      <c r="K7" s="4"/>
      <c r="L7" s="4"/>
      <c r="M7" s="4"/>
      <c r="N7" s="4"/>
      <c r="O7" s="19"/>
    </row>
    <row r="8" spans="1:17" ht="15.75" customHeight="1">
      <c r="A8" s="12" t="s">
        <v>12</v>
      </c>
      <c r="B8" s="11">
        <v>4</v>
      </c>
      <c r="C8" s="11">
        <v>1.44</v>
      </c>
      <c r="D8" s="11">
        <v>7.4</v>
      </c>
      <c r="E8" s="11">
        <f>C8*D8*B8</f>
        <v>42.624000000000002</v>
      </c>
      <c r="F8" s="10">
        <v>1440</v>
      </c>
      <c r="G8" s="11">
        <f>E8*F8/3600</f>
        <v>17.049600000000002</v>
      </c>
      <c r="I8" s="13"/>
      <c r="J8" s="4"/>
      <c r="K8" s="4"/>
      <c r="L8" s="4"/>
      <c r="M8" s="4"/>
      <c r="N8" s="4"/>
      <c r="O8" s="19"/>
    </row>
    <row r="9" spans="1:17" ht="13.15" customHeight="1">
      <c r="A9" s="8" t="s">
        <v>13</v>
      </c>
      <c r="B9" s="6">
        <v>1</v>
      </c>
      <c r="C9" s="5">
        <v>0.2</v>
      </c>
      <c r="D9" s="6">
        <v>1.32</v>
      </c>
      <c r="E9" s="6">
        <f>C9*D9*B9</f>
        <v>0.26400000000000001</v>
      </c>
      <c r="F9" s="5">
        <v>1800</v>
      </c>
      <c r="G9" s="6">
        <f>E9*F9/3600</f>
        <v>0.13200000000000001</v>
      </c>
      <c r="I9" s="4"/>
      <c r="J9" s="15"/>
      <c r="K9" s="15"/>
      <c r="L9" s="15"/>
      <c r="M9" s="15"/>
      <c r="N9" s="15"/>
      <c r="O9" s="20"/>
    </row>
    <row r="10" spans="1:17" ht="12.75" customHeight="1">
      <c r="B10" s="5"/>
      <c r="C10" s="5"/>
      <c r="D10" s="5"/>
      <c r="E10" s="5"/>
      <c r="F10" s="5"/>
      <c r="G10" s="5"/>
      <c r="I10" s="4"/>
      <c r="J10" s="15"/>
      <c r="K10" s="15"/>
      <c r="L10" s="15"/>
      <c r="M10" s="15"/>
      <c r="N10" s="15"/>
      <c r="O10" s="20"/>
    </row>
    <row r="11" spans="1:17" ht="12.75">
      <c r="A11" s="1" t="s">
        <v>14</v>
      </c>
      <c r="B11" s="6">
        <v>1</v>
      </c>
      <c r="C11" s="7">
        <v>3.35</v>
      </c>
      <c r="D11" s="6">
        <v>24</v>
      </c>
      <c r="E11" s="6">
        <f>C11*D11*B11</f>
        <v>80.400000000000006</v>
      </c>
      <c r="F11" s="6">
        <v>1800</v>
      </c>
      <c r="G11" s="6">
        <f>E11*F11/3600</f>
        <v>40.200000000000003</v>
      </c>
      <c r="I11" s="4"/>
      <c r="J11" s="4"/>
      <c r="K11" s="4"/>
      <c r="L11" s="4"/>
      <c r="M11" s="4"/>
      <c r="N11" s="4"/>
      <c r="O11" s="19"/>
    </row>
    <row r="12" spans="1:17" ht="13.15">
      <c r="A12" s="1" t="s">
        <v>15</v>
      </c>
      <c r="B12" s="6">
        <v>1</v>
      </c>
      <c r="C12" s="6">
        <f>2.7*4</f>
        <v>10.8</v>
      </c>
      <c r="D12" s="6">
        <v>24</v>
      </c>
      <c r="E12" s="6">
        <f>C12*D12*B12</f>
        <v>259.20000000000005</v>
      </c>
      <c r="F12" s="6">
        <v>1800</v>
      </c>
      <c r="G12" s="6">
        <f>E12*F12/3600</f>
        <v>129.60000000000002</v>
      </c>
      <c r="I12" s="98" t="s">
        <v>59</v>
      </c>
      <c r="J12" s="98"/>
      <c r="K12" s="98"/>
      <c r="L12" s="98"/>
      <c r="M12" s="98"/>
      <c r="N12" s="98"/>
      <c r="Q12" s="19"/>
    </row>
    <row r="13" spans="1:17" ht="12.75">
      <c r="A13" s="1"/>
      <c r="B13" s="5"/>
      <c r="C13" s="5"/>
      <c r="D13" s="5"/>
      <c r="E13" s="5"/>
      <c r="F13" s="5"/>
      <c r="G13" s="5"/>
      <c r="Q13" s="19"/>
    </row>
    <row r="14" spans="1:17" ht="12.75">
      <c r="B14" s="5"/>
      <c r="C14" s="5"/>
      <c r="D14" s="5"/>
      <c r="E14" s="5"/>
      <c r="F14" s="6" t="s">
        <v>16</v>
      </c>
      <c r="G14" s="38">
        <f>SUM(G4:G12)</f>
        <v>194.23160000000001</v>
      </c>
      <c r="Q14" s="19"/>
    </row>
    <row r="16" spans="1:17" ht="15.75" customHeight="1">
      <c r="A16" t="s">
        <v>22</v>
      </c>
      <c r="C16" t="s">
        <v>20</v>
      </c>
      <c r="I16" t="s">
        <v>58</v>
      </c>
    </row>
    <row r="17" spans="1:6" ht="15.75" customHeight="1">
      <c r="A17" s="1" t="s">
        <v>18</v>
      </c>
      <c r="C17" t="s">
        <v>17</v>
      </c>
      <c r="E17" s="14"/>
    </row>
    <row r="18" spans="1:6" ht="15.75" customHeight="1">
      <c r="A18" s="1" t="s">
        <v>19</v>
      </c>
      <c r="C18" t="s">
        <v>21</v>
      </c>
    </row>
    <row r="20" spans="1:6" ht="15.75" customHeight="1">
      <c r="A20" t="s">
        <v>23</v>
      </c>
      <c r="B20" t="s">
        <v>29</v>
      </c>
      <c r="C20" t="s">
        <v>24</v>
      </c>
      <c r="F20" t="s">
        <v>25</v>
      </c>
    </row>
    <row r="21" spans="1:6" ht="15.75" customHeight="1">
      <c r="A21" t="s">
        <v>26</v>
      </c>
      <c r="B21" t="s">
        <v>28</v>
      </c>
      <c r="C21" t="s">
        <v>27</v>
      </c>
    </row>
    <row r="25" spans="1:6" ht="12.75"/>
    <row r="41" ht="14.25" customHeight="1"/>
    <row r="43" ht="34.25" customHeight="1"/>
  </sheetData>
  <mergeCells count="1">
    <mergeCell ref="I12:N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90A6A3-7474-4B45-BC05-26D8EABD653B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fd78287-9c13-4cc7-8a85-13ec0baf565a"/>
    <ds:schemaRef ds:uri="b29931fe-4fc5-436a-9e90-a11aaebbaaf1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78CE003-66E9-490A-BF97-D24ADA35D8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00B992-B788-4009-9B96-D0A3628BA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Table</vt:lpstr>
      <vt:lpstr>Runtime Calculation</vt:lpstr>
      <vt:lpstr>Miscellaneous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Jeanette Sim</dc:creator>
  <cp:keywords/>
  <dc:description/>
  <cp:lastModifiedBy>Jeanette Sim</cp:lastModifiedBy>
  <cp:revision/>
  <dcterms:created xsi:type="dcterms:W3CDTF">2024-08-23T03:13:30Z</dcterms:created>
  <dcterms:modified xsi:type="dcterms:W3CDTF">2024-11-07T13:46:01Z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