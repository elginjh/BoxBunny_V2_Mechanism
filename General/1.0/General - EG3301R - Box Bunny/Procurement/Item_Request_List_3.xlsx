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usu.sharepoint.com/sites/EG3301R-BoxBunny/Shared Documents/General/Procurement/"/>
    </mc:Choice>
  </mc:AlternateContent>
  <xr:revisionPtr revIDLastSave="324" documentId="6_{69DE034A-740F-4FA6-9C51-458F0D32E63E}" xr6:coauthVersionLast="47" xr6:coauthVersionMax="47" xr10:uidLastSave="{41E329A8-84AB-453E-9867-CFA2A838D3C0}"/>
  <bookViews>
    <workbookView xWindow="-98" yWindow="-98" windowWidth="21795" windowHeight="13695" firstSheet="1" activeTab="1" xr2:uid="{00000000-000D-0000-FFFF-FFFF00000000}"/>
  </bookViews>
  <sheets>
    <sheet name="Request Form" sheetId="1" r:id="rId1"/>
    <sheet name="Numba On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2" l="1"/>
  <c r="G23" i="2"/>
  <c r="G22" i="2"/>
  <c r="G21" i="2"/>
  <c r="G20" i="2"/>
  <c r="G19" i="2"/>
  <c r="G18" i="2"/>
  <c r="G17" i="2"/>
  <c r="G16" i="2"/>
  <c r="G24" i="2" l="1"/>
</calcChain>
</file>

<file path=xl/sharedStrings.xml><?xml version="1.0" encoding="utf-8"?>
<sst xmlns="http://schemas.openxmlformats.org/spreadsheetml/2006/main" count="146" uniqueCount="61">
  <si>
    <t>Project Code:</t>
  </si>
  <si>
    <t>IS305</t>
  </si>
  <si>
    <t>Course Code:</t>
  </si>
  <si>
    <t>EG3301R</t>
  </si>
  <si>
    <t xml:space="preserve">Project Title: </t>
  </si>
  <si>
    <t>BoxBunny</t>
  </si>
  <si>
    <t>Main Project Supervisor:</t>
  </si>
  <si>
    <t>Dr Elliot Law, Dr Idris Lim</t>
  </si>
  <si>
    <t>Members</t>
  </si>
  <si>
    <t>S/N</t>
  </si>
  <si>
    <t>Name</t>
  </si>
  <si>
    <t>Host Department</t>
  </si>
  <si>
    <t>Matric No.</t>
  </si>
  <si>
    <t>Email</t>
  </si>
  <si>
    <t>Contact No.</t>
  </si>
  <si>
    <t>Remarks</t>
  </si>
  <si>
    <t>Ramie Lim Rui Min</t>
  </si>
  <si>
    <t>EDIC</t>
  </si>
  <si>
    <t>A0222857Y</t>
  </si>
  <si>
    <t>ramie@u.nus.edu</t>
  </si>
  <si>
    <t>Muhammad Zakir Haziq</t>
  </si>
  <si>
    <t>A0257956J</t>
  </si>
  <si>
    <t>zakir.h@u.nus.edu</t>
  </si>
  <si>
    <t>Sim Yu Jeanette</t>
  </si>
  <si>
    <t>A0254736X</t>
  </si>
  <si>
    <t>kirubasankar@u.nus.edu</t>
  </si>
  <si>
    <t>Mageshkumar Kirubasankar</t>
  </si>
  <si>
    <t>A0253507H</t>
  </si>
  <si>
    <t>jeanette.sim@u.nus.edu</t>
  </si>
  <si>
    <t>Item Description &amp; Part/Model No.</t>
  </si>
  <si>
    <r>
      <t>Class of Item ( Normal / Chemical /</t>
    </r>
    <r>
      <rPr>
        <b/>
        <sz val="10"/>
        <color rgb="FFFF0000"/>
        <rFont val="Verdana"/>
        <family val="2"/>
      </rPr>
      <t xml:space="preserve"> Biological </t>
    </r>
    <r>
      <rPr>
        <b/>
        <sz val="10"/>
        <color theme="1"/>
        <rFont val="Verdana"/>
        <family val="2"/>
      </rPr>
      <t>/ Hazardous*)</t>
    </r>
  </si>
  <si>
    <t>Unit price</t>
  </si>
  <si>
    <t xml:space="preserve">Quantity </t>
  </si>
  <si>
    <t>Sub Total</t>
  </si>
  <si>
    <t>Distributor/Supplier/URL</t>
  </si>
  <si>
    <t>$</t>
  </si>
  <si>
    <t>Grand Total</t>
  </si>
  <si>
    <r>
      <t xml:space="preserve">* </t>
    </r>
    <r>
      <rPr>
        <b/>
        <sz val="10"/>
        <color rgb="FFFF0000"/>
        <rFont val="Verdana"/>
        <family val="2"/>
      </rPr>
      <t>Important Note:</t>
    </r>
  </si>
  <si>
    <r>
      <t xml:space="preserve">1. Please take note that the claim for reimbursement of any purchases must be submitted within 1 month. </t>
    </r>
    <r>
      <rPr>
        <b/>
        <sz val="10"/>
        <color rgb="FFFF0000"/>
        <rFont val="Verdana"/>
        <family val="2"/>
      </rPr>
      <t>No claim is allowed after 1 month of purchase.</t>
    </r>
  </si>
  <si>
    <r>
      <t xml:space="preserve">2. For Chemical / </t>
    </r>
    <r>
      <rPr>
        <b/>
        <sz val="10"/>
        <color rgb="FFFF0000"/>
        <rFont val="Verdana"/>
        <family val="2"/>
      </rPr>
      <t>Biological</t>
    </r>
    <r>
      <rPr>
        <b/>
        <sz val="10"/>
        <color theme="1"/>
        <rFont val="Verdana"/>
        <family val="2"/>
      </rPr>
      <t xml:space="preserve"> / Hazardous item(s) - Please indicate the</t>
    </r>
    <r>
      <rPr>
        <b/>
        <sz val="10"/>
        <color rgb="FFFF0000"/>
        <rFont val="Verdana"/>
        <family val="2"/>
      </rPr>
      <t xml:space="preserve"> safe handling </t>
    </r>
    <r>
      <rPr>
        <b/>
        <sz val="10"/>
        <color theme="1"/>
        <rFont val="Verdana"/>
        <family val="2"/>
      </rPr>
      <t>requirements</t>
    </r>
    <r>
      <rPr>
        <b/>
        <sz val="10"/>
        <rFont val="Verdana"/>
        <family val="2"/>
      </rPr>
      <t xml:space="preserve"> through a</t>
    </r>
    <r>
      <rPr>
        <b/>
        <sz val="10"/>
        <color rgb="FFFF0000"/>
        <rFont val="Verdana"/>
        <family val="2"/>
      </rPr>
      <t xml:space="preserve"> risk assessment,</t>
    </r>
    <r>
      <rPr>
        <b/>
        <sz val="10"/>
        <color theme="1"/>
        <rFont val="Verdana"/>
        <family val="2"/>
      </rPr>
      <t xml:space="preserve"> and provide the</t>
    </r>
    <r>
      <rPr>
        <b/>
        <sz val="10"/>
        <color rgb="FFFF0000"/>
        <rFont val="Verdana"/>
        <family val="2"/>
      </rPr>
      <t xml:space="preserve"> Safety Data Sheet (SDS)</t>
    </r>
    <r>
      <rPr>
        <b/>
        <sz val="10"/>
        <color theme="1"/>
        <rFont val="Verdana"/>
        <family val="2"/>
      </rPr>
      <t xml:space="preserve">. </t>
    </r>
  </si>
  <si>
    <r>
      <t xml:space="preserve">3. The </t>
    </r>
    <r>
      <rPr>
        <b/>
        <sz val="10"/>
        <color rgb="FFFF0000"/>
        <rFont val="Verdana"/>
        <family val="2"/>
      </rPr>
      <t>safe handling</t>
    </r>
    <r>
      <rPr>
        <b/>
        <sz val="10"/>
        <color theme="1"/>
        <rFont val="Verdana"/>
        <family val="2"/>
      </rPr>
      <t xml:space="preserve"> requirements include the usage, PPE, transfer/transportation, storage and disposal of the item(s).</t>
    </r>
  </si>
  <si>
    <r>
      <t xml:space="preserve">4. For Hazardous item - </t>
    </r>
    <r>
      <rPr>
        <b/>
        <sz val="10"/>
        <color rgb="FFFF0000"/>
        <rFont val="Verdana"/>
        <family val="2"/>
      </rPr>
      <t>Government</t>
    </r>
    <r>
      <rPr>
        <b/>
        <sz val="10"/>
        <color theme="1"/>
        <rFont val="Verdana"/>
        <family val="2"/>
      </rPr>
      <t xml:space="preserve"> license </t>
    </r>
    <r>
      <rPr>
        <b/>
        <sz val="10"/>
        <color rgb="FFFF0000"/>
        <rFont val="Verdana"/>
        <family val="2"/>
      </rPr>
      <t>(such as from NEA, SCDF, SPF or AVA)</t>
    </r>
    <r>
      <rPr>
        <b/>
        <sz val="10"/>
        <color theme="1"/>
        <rFont val="Verdana"/>
        <family val="2"/>
      </rPr>
      <t xml:space="preserve"> is required. Hence, there might be additional cost inv</t>
    </r>
    <r>
      <rPr>
        <b/>
        <sz val="10"/>
        <rFont val="Verdana"/>
        <family val="2"/>
      </rPr>
      <t>olved</t>
    </r>
    <r>
      <rPr>
        <b/>
        <sz val="10"/>
        <color theme="1"/>
        <rFont val="Verdana"/>
        <family val="2"/>
      </rPr>
      <t xml:space="preserve"> for the licensing fee.</t>
    </r>
  </si>
  <si>
    <t>5. The safety documents submitted will be reviewed by the Acting License Holder (ALH) or the Faculty Safety Manager.</t>
  </si>
  <si>
    <t>Normal</t>
  </si>
  <si>
    <r>
      <rPr>
        <sz val="10"/>
        <rFont val="Verdana"/>
        <family val="2"/>
      </rPr>
      <t xml:space="preserve">Shopee: </t>
    </r>
    <r>
      <rPr>
        <u/>
        <sz val="10"/>
        <color theme="10"/>
        <rFont val="Verdana"/>
        <family val="2"/>
      </rPr>
      <t>https://shopee.sg/30Pcs-Reusable-Fastening-Cable-Straps-with-Buckle-Variety-Sizes-Multi-Purpose-Cinch-Strap-for-Bike-Boat-Extension-Cords-Ropes-Hoses-Organization-i.423823734.21436223776?xptdk=79ae1312-bf03-44f3-98ac-ad75b8e69f09</t>
    </r>
  </si>
  <si>
    <t>DC-DC Buck Boost Converter Module 5.5-30V to 0.5-30V 4A 35W Adjustable Step Up Down Voltage Regulator LCD Digital Voltmeter</t>
  </si>
  <si>
    <t>MCM 28-720 Terminal Strips - 12 Terminals</t>
  </si>
  <si>
    <r>
      <rPr>
        <sz val="10"/>
        <rFont val="Verdana"/>
        <family val="2"/>
      </rPr>
      <t xml:space="preserve">Element14: </t>
    </r>
    <r>
      <rPr>
        <u/>
        <sz val="10"/>
        <color theme="10"/>
        <rFont val="Verdana"/>
        <family val="2"/>
      </rPr>
      <t>https://sg.element14.com/mcm/28-720/terminal-strips-12-terminals/dp/2783670</t>
    </r>
  </si>
  <si>
    <r>
      <rPr>
        <sz val="10"/>
        <rFont val="Verdana"/>
        <family val="2"/>
      </rPr>
      <t xml:space="preserve">Aliexpress: </t>
    </r>
    <r>
      <rPr>
        <u/>
        <sz val="10"/>
        <color theme="10"/>
        <rFont val="Verdana"/>
        <family val="2"/>
      </rPr>
      <t>https://www.aliexpress.com/item/1005005904505797.html?spm=a2g0o.detail.pcDetailBottomMoreOtherSeller.7.2401kFiIkFiIvp&amp;gps-id=pcDetailBottomMoreOtherSeller&amp;scm=1007.40050.354490.0&amp;scm_id=1007.40050.354490.0&amp;scm-url=1007.40050.354490.0&amp;pvid=c1894cfd-c3bb-418c-b2dd-3e2a75533224&amp;_t=gps-id:pcDetailBottomMoreOtherSeller,scm-url:1007.40050.354490.0,pvid:c1894cfd-c3bb-418c-b2dd-3e2a75533224,tpp_buckets:668%232846%238112%231997&amp;isseo=y&amp;pdp_npi=4%40dis%21SGD%211.23%211.23%21%21%210.93%210.93%21%402141113617275505891166475e6d02%2112000034789784504%21rec%21SG%216057782174%21ABX&amp;utparam-url=scene%3ApcDetailBottomMoreOtherSeller%7Cquery_from%3A</t>
    </r>
  </si>
  <si>
    <t>PROTO BOARD, ARDUINO MEGA, REV 3</t>
  </si>
  <si>
    <t>5VDC HC-SR04 Ultrasonic Sensor</t>
  </si>
  <si>
    <t>Emergency Stop Switch, DPST-NC, Twist to Release, Quick Connect, Solder, 6A, 250V</t>
  </si>
  <si>
    <t>1Pcs 2Pin 4Pin Micro USB / Type C Charger Connector USB 2.0 Type A Male Female Power Supply Extension Cable Wire DIY Data Line
Type-C Male 2P - 0.3m x1
Type-C Male 2P - 1.0m x1</t>
  </si>
  <si>
    <r>
      <rPr>
        <sz val="10"/>
        <rFont val="Verdana"/>
        <family val="2"/>
      </rPr>
      <t xml:space="preserve">Aliexpress: </t>
    </r>
    <r>
      <rPr>
        <u/>
        <sz val="10"/>
        <color theme="10"/>
        <rFont val="Verdana"/>
        <family val="2"/>
      </rPr>
      <t>https://www.aliexpress.com/item/1005006967272924.html?spm=a2g0o.detail.pcDetailTopMoreOtherSeller.4.577aJuMcJuMcCG&amp;gps-id=pcDetailTopMoreOtherSeller&amp;scm=1007.40050.354490.0&amp;scm_id=1007.40050.354490.0&amp;scm-url=1007.40050.354490.0&amp;pvid=c7832fdf-58f0-4c42-ba8f-c80bf3aa41e1&amp;_t=gps-id:pcDetailTopMoreOtherSeller,scm-url:1007.40050.354490.0,pvid:c7832fdf-58f0-4c42-ba8f-c80bf3aa41e1,tpp_buckets:668%232846%238112%231997&amp;isseo=y&amp;pdp_npi=4%40dis%21SGD%2113.55%216.37%21%21%2171.88%2133.78%21%402101580317271648782564819e68d8%2112000038885978528%21rec%21SG%216057782174%21ABX&amp;utparam-url=scene%3ApcDetailTopMoreOtherSeller%7Cquery_from%3A#nav-specification</t>
    </r>
  </si>
  <si>
    <r>
      <rPr>
        <sz val="10"/>
        <color theme="1"/>
        <rFont val="Verdana"/>
        <family val="2"/>
      </rPr>
      <t xml:space="preserve">Cytron: </t>
    </r>
    <r>
      <rPr>
        <u/>
        <sz val="10"/>
        <color theme="10"/>
        <rFont val="Verdana"/>
        <family val="2"/>
      </rPr>
      <t>https://sg.cytron.io/p-adjustable-5a-dc-dc-power-module?r=1&amp;gad_source=1&amp;gclid=Cj0KCQjwjNS3BhChARIsAOxBM6o-rBDgZL-s7vnLaKbQx16S3-7BDo0BWcgdGnDiT4LBy_cNeQhz_MYaAonzEALw_wcB</t>
    </r>
  </si>
  <si>
    <r>
      <rPr>
        <sz val="10"/>
        <rFont val="Verdana"/>
        <family val="2"/>
      </rPr>
      <t>Element14:</t>
    </r>
    <r>
      <rPr>
        <u/>
        <sz val="10"/>
        <color theme="10"/>
        <rFont val="Verdana"/>
        <family val="2"/>
      </rPr>
      <t xml:space="preserve"> https://sg.element14.com/arduino/a000080/proto-board-arduino-mega-rev-3/dp/2285197?&amp;CMP=KNC-GSG-SHOPPING-PMAX-TOP-AOV-CATEGORY&amp;mckv=_dc%7Cpcrid%7C%7Cpkw%7C%7Cpmt%7C%7Cslid%7C%7Cproduct%7C2285197%7Cpgrid%7C%7Cptaid%7C%7C&amp;gad_source=1&amp;gclid=CjwKCAjw9eO3BhBNEiwAoc0-jcSTzd87qnpGWnOfGlN1t8-C0x4QCnHQEphUZ-E8CodaDBbJOZvVghoCnC0QAvD_BwE</t>
    </r>
  </si>
  <si>
    <r>
      <rPr>
        <sz val="10"/>
        <rFont val="Verdana"/>
        <family val="2"/>
      </rPr>
      <t xml:space="preserve">Cytron: </t>
    </r>
    <r>
      <rPr>
        <u/>
        <sz val="10"/>
        <color theme="10"/>
        <rFont val="Verdana"/>
        <family val="2"/>
      </rPr>
      <t>https://sg.cytron.io/p-5v-hc-sr04-ultrasonic-sensor</t>
    </r>
  </si>
  <si>
    <r>
      <rPr>
        <sz val="10"/>
        <rFont val="Verdana"/>
        <family val="2"/>
      </rPr>
      <t>Element14:</t>
    </r>
    <r>
      <rPr>
        <sz val="10"/>
        <color theme="10"/>
        <rFont val="Verdana"/>
        <family val="2"/>
      </rPr>
      <t xml:space="preserve"> </t>
    </r>
    <r>
      <rPr>
        <u/>
        <sz val="10"/>
        <color theme="10"/>
        <rFont val="Verdana"/>
        <family val="2"/>
      </rPr>
      <t>https://sg.element14.com/apem/a01es-df1-a0154b-d-a01yl1/e-stop-sw-dpst-nc-250v-qc-solder/dp/2815267?&amp;CMP=KNC-GSG-SHOPPING-PMAX-TOP-AOV-CATEGORY&amp;mckv=_dc%7Cpcrid%7C%7Cpkw%7C%7Cpmt%7C%7Cslid%7C%7Cproduct%7C2815267%7Cpgrid%7C%7Cptaid%7C%7C&amp;gad_source=1&amp;gclid=CjwKCAjw9eO3BhBNEiwAoc0-jTXjdrdQFeO7z4E0bDWcV1oup8r7Po3qKP1ZEA55O7xBGfQlgi0SUxoC6u4QAvD_BwE</t>
    </r>
  </si>
  <si>
    <t>Adjustable 5A DC-DC Power Module
(Buck Converter)</t>
  </si>
  <si>
    <t>30Pcs Reusable Fastening Cable Straps with Buckle Variety Sizes Multi-Purpose Cinch Strap for Bike, Boat, Extension Cords, Ropes, Hoses Organization
30cm 10PCS</t>
  </si>
  <si>
    <t>30Pcs Reusable Fastening Cable Straps with Buckle Variety Sizes Multi-Purpose Cinch Strap for Bike, Boat, Extension Cords, Ropes, Hoses Organization
20cm 10PCS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</si>
</sst>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10"/>
      <color rgb="FFFF000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Verdana"/>
      <family val="2"/>
    </font>
    <font>
      <sz val="10"/>
      <color theme="10"/>
      <name val="Verdan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7">
    <xf numFmtId="0" fontId="0" fillId="0" borderId="0" xfId="0"/>
    <xf numFmtId="0" fontId="1" fillId="0" borderId="2" xfId="0" applyFont="1" applyBorder="1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left" vertical="center"/>
    </xf>
    <xf numFmtId="0" fontId="1" fillId="0" borderId="5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4" xfId="0" applyFont="1" applyBorder="1"/>
    <xf numFmtId="0" fontId="2" fillId="0" borderId="0" xfId="0" applyFont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1" xfId="1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irubasankar@u.nus.edu" TargetMode="External"/><Relationship Id="rId2" Type="http://schemas.openxmlformats.org/officeDocument/2006/relationships/hyperlink" Target="mailto:zakir.h@u.nus.edu" TargetMode="External"/><Relationship Id="rId1" Type="http://schemas.openxmlformats.org/officeDocument/2006/relationships/hyperlink" Target="mailto:ramie@u.nus.edu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jeanette.sim@u.nus.edu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hopee.sg/30Pcs-Reusable-Fastening-Cable-Straps-with-Buckle-Variety-Sizes-Multi-Purpose-Cinch-Strap-for-Bike-Boat-Extension-Cords-Ropes-Hoses-Organization-i.423823734.21436223776?xptdk=79ae1312-bf03-44f3-98ac-ad75b8e69f09" TargetMode="External"/><Relationship Id="rId13" Type="http://schemas.openxmlformats.org/officeDocument/2006/relationships/hyperlink" Target="https://shopee.sg/30Pcs-Reusable-Fastening-Cable-Straps-with-Buckle-Variety-Sizes-Multi-Purpose-Cinch-Strap-for-Bike-Boat-Extension-Cords-Ropes-Hoses-Organization-i.423823734.21436223776?xptdk=79ae1312-bf03-44f3-98ac-ad75b8e69f09" TargetMode="External"/><Relationship Id="rId18" Type="http://schemas.openxmlformats.org/officeDocument/2006/relationships/hyperlink" Target="https://sg.cytron.io/p-5v-hc-sr04-ultrasonic-sensor" TargetMode="External"/><Relationship Id="rId3" Type="http://schemas.openxmlformats.org/officeDocument/2006/relationships/hyperlink" Target="mailto:kirubasankar@u.nus.edu" TargetMode="External"/><Relationship Id="rId21" Type="http://schemas.openxmlformats.org/officeDocument/2006/relationships/hyperlink" Target="https://shopee.sg/30Pcs-Reusable-Fastening-Cable-Straps-with-Buckle-Variety-Sizes-Multi-Purpose-Cinch-Strap-for-Bike-Boat-Extension-Cords-Ropes-Hoses-Organization-i.423823734.21436223776?xptdk=79ae1312-bf03-44f3-98ac-ad75b8e69f09" TargetMode="External"/><Relationship Id="rId7" Type="http://schemas.openxmlformats.org/officeDocument/2006/relationships/hyperlink" Target="https://shopee.sg/30Pcs-Reusable-Fastening-Cable-Straps-with-Buckle-Variety-Sizes-Multi-Purpose-Cinch-Strap-for-Bike-Boat-Extension-Cords-Ropes-Hoses-Organization-i.423823734.21436223776?xptdk=79ae1312-bf03-44f3-98ac-ad75b8e69f09" TargetMode="External"/><Relationship Id="rId12" Type="http://schemas.openxmlformats.org/officeDocument/2006/relationships/hyperlink" Target="https://shopee.sg/30Pcs-Reusable-Fastening-Cable-Straps-with-Buckle-Variety-Sizes-Multi-Purpose-Cinch-Strap-for-Bike-Boat-Extension-Cords-Ropes-Hoses-Organization-i.423823734.21436223776?xptdk=79ae1312-bf03-44f3-98ac-ad75b8e69f09" TargetMode="External"/><Relationship Id="rId17" Type="http://schemas.openxmlformats.org/officeDocument/2006/relationships/hyperlink" Target="https://sg.element14.com/arduino/a000080/proto-board-arduino-mega-rev-3/dp/2285197?&amp;CMP=KNC-GSG-SHOPPING-PMAX-TOP-AOV-CATEGORY&amp;mckv=_dc%7Cpcrid%7C%7Cpkw%7C%7Cpmt%7C%7Cslid%7C%7Cproduct%7C2285197%7Cpgrid%7C%7Cptaid%7C%7C&amp;gad_source=1&amp;gclid=CjwKCAjw9eO3BhBNEiwAoc0-jcSTzd87qnpGWnOfGlN1t8-C0x4QCnHQEphUZ-E8CodaDBbJOZvVghoCnC0QAvD_BwE" TargetMode="External"/><Relationship Id="rId2" Type="http://schemas.openxmlformats.org/officeDocument/2006/relationships/hyperlink" Target="mailto:zakir.h@u.nus.edu" TargetMode="External"/><Relationship Id="rId16" Type="http://schemas.openxmlformats.org/officeDocument/2006/relationships/hyperlink" Target="https://www.aliexpress.com/item/1005005904505797.html?spm=a2g0o.detail.pcDetailBottomMoreOtherSeller.7.2401kFiIkFiIvp&amp;gps-id=pcDetailBottomMoreOtherSeller&amp;scm=1007.40050.354490.0&amp;scm_id=1007.40050.354490.0&amp;scm-url=1007.40050.354490.0&amp;pvid=c1894cfd-c3bb-418c-b2dd-3e2a75533224&amp;_t=gps-id:pcDetailBottomMoreOtherSeller,scm-url:1007.40050.354490.0,pvid:c1894cfd-c3bb-418c-b2dd-3e2a75533224,tpp_buckets:668%232846%238112%231997&amp;isseo=y&amp;pdp_npi=4%40dis%21SGD%211.23%211.23%21%21%210.93%210.93%21%402141113617275505891166475e6d02%2112000034789784504%21rec%21SG%216057782174%21ABX&amp;utparam-url=scene%3ApcDetailBottomMoreOtherSeller%7Cquery_from%3A" TargetMode="External"/><Relationship Id="rId20" Type="http://schemas.openxmlformats.org/officeDocument/2006/relationships/hyperlink" Target="https://shopee.sg/30Pcs-Reusable-Fastening-Cable-Straps-with-Buckle-Variety-Sizes-Multi-Purpose-Cinch-Strap-for-Bike-Boat-Extension-Cords-Ropes-Hoses-Organization-i.423823734.21436223776?xptdk=79ae1312-bf03-44f3-98ac-ad75b8e69f09" TargetMode="External"/><Relationship Id="rId1" Type="http://schemas.openxmlformats.org/officeDocument/2006/relationships/hyperlink" Target="mailto:ramie@u.nus.edu" TargetMode="External"/><Relationship Id="rId6" Type="http://schemas.openxmlformats.org/officeDocument/2006/relationships/hyperlink" Target="https://shopee.sg/30Pcs-Reusable-Fastening-Cable-Straps-with-Buckle-Variety-Sizes-Multi-Purpose-Cinch-Strap-for-Bike-Boat-Extension-Cords-Ropes-Hoses-Organization-i.423823734.21436223776?xptdk=79ae1312-bf03-44f3-98ac-ad75b8e69f09" TargetMode="External"/><Relationship Id="rId11" Type="http://schemas.openxmlformats.org/officeDocument/2006/relationships/hyperlink" Target="https://www.aliexpress.com/item/1005006967272924.html?spm=a2g0o.detail.pcDetailTopMoreOtherSeller.4.577aJuMcJuMcCG&amp;gps-id=pcDetailTopMoreOtherSeller&amp;scm=1007.40050.354490.0&amp;scm_id=1007.40050.354490.0&amp;scm-url=1007.40050.354490.0&amp;pvid=c7832fdf-58f0-4c42-ba8f-c80bf3aa41e1&amp;_t=gps-id:pcDetailTopMoreOtherSeller,scm-url:1007.40050.354490.0,pvid:c7832fdf-58f0-4c42-ba8f-c80bf3aa41e1,tpp_buckets:668%232846%238112%231997&amp;isseo=y&amp;pdp_npi=4%40dis%21SGD%2113.55%216.37%21%21%2171.88%2133.78%21%402101580317271648782564819e68d8%2112000038885978528%21rec%21SG%216057782174%21ABX&amp;utparam-url=scene%3ApcDetailTopMoreOtherSeller%7Cquery_from%3A" TargetMode="External"/><Relationship Id="rId5" Type="http://schemas.openxmlformats.org/officeDocument/2006/relationships/hyperlink" Target="https://shopee.sg/30Pcs-Reusable-Fastening-Cable-Straps-with-Buckle-Variety-Sizes-Multi-Purpose-Cinch-Strap-for-Bike-Boat-Extension-Cords-Ropes-Hoses-Organization-i.423823734.21436223776?xptdk=79ae1312-bf03-44f3-98ac-ad75b8e69f09" TargetMode="External"/><Relationship Id="rId15" Type="http://schemas.openxmlformats.org/officeDocument/2006/relationships/hyperlink" Target="https://sg.element14.com/mcm/28-720/terminal-strips-12-terminals/dp/2783670" TargetMode="External"/><Relationship Id="rId23" Type="http://schemas.openxmlformats.org/officeDocument/2006/relationships/printerSettings" Target="../printerSettings/printerSettings2.bin"/><Relationship Id="rId10" Type="http://schemas.openxmlformats.org/officeDocument/2006/relationships/hyperlink" Target="https://sg.cytron.io/p-adjustable-5a-dc-dc-power-module?r=1&amp;gad_source=1&amp;gclid=Cj0KCQjwjNS3BhChARIsAOxBM6o-rBDgZL-s7vnLaKbQx16S3-7BDo0BWcgdGnDiT4LBy_cNeQhz_MYaAonzEALw_wcB" TargetMode="External"/><Relationship Id="rId19" Type="http://schemas.openxmlformats.org/officeDocument/2006/relationships/hyperlink" Target="https://sg.element14.com/apem/a01es-df1-a0154b-d-a01yl1/e-stop-sw-dpst-nc-250v-qc-solder/dp/2815267?&amp;CMP=KNC-GSG-SHOPPING-PMAX-TOP-AOV-CATEGORY&amp;mckv=_dc%7Cpcrid%7C%7Cpkw%7C%7Cpmt%7C%7Cslid%7C%7Cproduct%7C2815267%7Cpgrid%7C%7Cptaid%7C%7C&amp;gad_source=1&amp;gclid=CjwKCAjw9eO3BhBNEiwAoc0-jTXjdrdQFeO7z4E0bDWcV1oup8r7Po3qKP1ZEA55O7xBGfQlgi0SUxoC6u4QAvD_BwE" TargetMode="External"/><Relationship Id="rId4" Type="http://schemas.openxmlformats.org/officeDocument/2006/relationships/hyperlink" Target="mailto:jeanette.sim@u.nus.edu" TargetMode="External"/><Relationship Id="rId9" Type="http://schemas.openxmlformats.org/officeDocument/2006/relationships/hyperlink" Target="https://shopee.sg/30Pcs-Reusable-Fastening-Cable-Straps-with-Buckle-Variety-Sizes-Multi-Purpose-Cinch-Strap-for-Bike-Boat-Extension-Cords-Ropes-Hoses-Organization-i.423823734.21436223776?xptdk=79ae1312-bf03-44f3-98ac-ad75b8e69f09" TargetMode="External"/><Relationship Id="rId14" Type="http://schemas.openxmlformats.org/officeDocument/2006/relationships/hyperlink" Target="https://shopee.sg/30Pcs-Reusable-Fastening-Cable-Straps-with-Buckle-Variety-Sizes-Multi-Purpose-Cinch-Strap-for-Bike-Boat-Extension-Cords-Ropes-Hoses-Organization-i.423823734.21436223776?xptdk=79ae1312-bf03-44f3-98ac-ad75b8e69f09" TargetMode="External"/><Relationship Id="rId22" Type="http://schemas.openxmlformats.org/officeDocument/2006/relationships/hyperlink" Target="https://shopee.sg/30Pcs-Reusable-Fastening-Cable-Straps-with-Buckle-Variety-Sizes-Multi-Purpose-Cinch-Strap-for-Bike-Boat-Extension-Cords-Ropes-Hoses-Organization-i.423823734.21436223776?xptdk=79ae1312-bf03-44f3-98ac-ad75b8e69f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4"/>
  <sheetViews>
    <sheetView showGridLines="0" zoomScale="78" zoomScaleNormal="78" workbookViewId="0">
      <selection activeCell="K6" sqref="K6"/>
    </sheetView>
  </sheetViews>
  <sheetFormatPr defaultColWidth="9.1328125" defaultRowHeight="12.4" x14ac:dyDescent="0.3"/>
  <cols>
    <col min="1" max="1" width="5.796875" style="5" customWidth="1"/>
    <col min="2" max="2" width="10.796875" style="5" customWidth="1"/>
    <col min="3" max="3" width="25.796875" style="3" customWidth="1"/>
    <col min="4" max="4" width="35.796875" style="3" customWidth="1"/>
    <col min="5" max="8" width="20.796875" style="3" customWidth="1"/>
    <col min="9" max="9" width="12.796875" style="3" customWidth="1"/>
    <col min="10" max="10" width="20.796875" style="3" customWidth="1"/>
    <col min="11" max="16384" width="9.1328125" style="3"/>
  </cols>
  <sheetData>
    <row r="1" spans="1:10" s="2" customFormat="1" ht="20.100000000000001" customHeight="1" x14ac:dyDescent="0.3">
      <c r="A1" s="37" t="s">
        <v>0</v>
      </c>
      <c r="B1" s="37"/>
      <c r="C1" s="1" t="s">
        <v>1</v>
      </c>
      <c r="D1" s="1"/>
    </row>
    <row r="2" spans="1:10" s="2" customFormat="1" ht="20.100000000000001" customHeight="1" x14ac:dyDescent="0.3">
      <c r="A2" s="28" t="s">
        <v>2</v>
      </c>
      <c r="B2" s="28"/>
      <c r="C2" s="1" t="s">
        <v>3</v>
      </c>
      <c r="D2" s="13"/>
    </row>
    <row r="3" spans="1:10" s="2" customFormat="1" ht="24" customHeight="1" x14ac:dyDescent="0.3">
      <c r="A3" s="37" t="s">
        <v>4</v>
      </c>
      <c r="B3" s="37"/>
      <c r="C3" s="1" t="s">
        <v>5</v>
      </c>
      <c r="D3" s="13"/>
    </row>
    <row r="4" spans="1:10" s="2" customFormat="1" ht="26.25" customHeight="1" x14ac:dyDescent="0.3">
      <c r="A4" s="28" t="s">
        <v>6</v>
      </c>
      <c r="B4" s="28"/>
      <c r="C4" s="1" t="s">
        <v>7</v>
      </c>
      <c r="D4" s="13"/>
    </row>
    <row r="5" spans="1:10" s="2" customFormat="1" ht="20.100000000000001" customHeight="1" x14ac:dyDescent="0.3">
      <c r="A5" s="9"/>
      <c r="B5" s="9"/>
    </row>
    <row r="6" spans="1:10" ht="20.100000000000001" customHeight="1" x14ac:dyDescent="0.3">
      <c r="A6" s="37" t="s">
        <v>8</v>
      </c>
      <c r="B6" s="37"/>
    </row>
    <row r="7" spans="1:10" ht="20.100000000000001" customHeight="1" x14ac:dyDescent="0.3">
      <c r="A7" s="7" t="s">
        <v>9</v>
      </c>
      <c r="B7" s="31" t="s">
        <v>10</v>
      </c>
      <c r="C7" s="32"/>
      <c r="D7" s="7" t="s">
        <v>11</v>
      </c>
      <c r="E7" s="7" t="s">
        <v>12</v>
      </c>
      <c r="F7" s="31" t="s">
        <v>13</v>
      </c>
      <c r="G7" s="32"/>
      <c r="H7" s="7" t="s">
        <v>14</v>
      </c>
      <c r="I7" s="31" t="s">
        <v>15</v>
      </c>
      <c r="J7" s="32"/>
    </row>
    <row r="8" spans="1:10" ht="20.100000000000001" customHeight="1" x14ac:dyDescent="0.3">
      <c r="A8" s="11">
        <v>1</v>
      </c>
      <c r="B8" s="26" t="s">
        <v>16</v>
      </c>
      <c r="C8" s="27"/>
      <c r="D8" s="11" t="s">
        <v>17</v>
      </c>
      <c r="E8" s="11" t="s">
        <v>18</v>
      </c>
      <c r="F8" s="33" t="s">
        <v>19</v>
      </c>
      <c r="G8" s="32"/>
      <c r="H8" s="11">
        <v>86207648</v>
      </c>
      <c r="I8" s="26"/>
      <c r="J8" s="27"/>
    </row>
    <row r="9" spans="1:10" ht="20.100000000000001" customHeight="1" x14ac:dyDescent="0.3">
      <c r="A9" s="11">
        <v>2</v>
      </c>
      <c r="B9" s="26" t="s">
        <v>20</v>
      </c>
      <c r="C9" s="27"/>
      <c r="D9" s="11" t="s">
        <v>17</v>
      </c>
      <c r="E9" s="11" t="s">
        <v>21</v>
      </c>
      <c r="F9" s="33" t="s">
        <v>22</v>
      </c>
      <c r="G9" s="32"/>
      <c r="H9" s="11">
        <v>96607351</v>
      </c>
      <c r="I9" s="26"/>
      <c r="J9" s="27"/>
    </row>
    <row r="10" spans="1:10" ht="20.100000000000001" customHeight="1" x14ac:dyDescent="0.3">
      <c r="A10" s="11">
        <v>3</v>
      </c>
      <c r="B10" s="26" t="s">
        <v>23</v>
      </c>
      <c r="C10" s="27"/>
      <c r="D10" s="11" t="s">
        <v>17</v>
      </c>
      <c r="E10" s="11" t="s">
        <v>24</v>
      </c>
      <c r="F10" s="33" t="s">
        <v>25</v>
      </c>
      <c r="G10" s="32"/>
      <c r="H10" s="11">
        <v>90056866</v>
      </c>
      <c r="I10" s="26"/>
      <c r="J10" s="27"/>
    </row>
    <row r="11" spans="1:10" ht="20.100000000000001" customHeight="1" x14ac:dyDescent="0.3">
      <c r="A11" s="11">
        <v>4</v>
      </c>
      <c r="B11" s="26" t="s">
        <v>26</v>
      </c>
      <c r="C11" s="27"/>
      <c r="D11" s="11" t="s">
        <v>17</v>
      </c>
      <c r="E11" s="11" t="s">
        <v>27</v>
      </c>
      <c r="F11" s="33" t="s">
        <v>28</v>
      </c>
      <c r="G11" s="32"/>
      <c r="H11" s="17">
        <v>97671882</v>
      </c>
      <c r="I11" s="26"/>
      <c r="J11" s="27"/>
    </row>
    <row r="12" spans="1:10" ht="20.100000000000001" customHeight="1" x14ac:dyDescent="0.3">
      <c r="A12" s="11">
        <v>5</v>
      </c>
      <c r="B12" s="26"/>
      <c r="C12" s="27"/>
      <c r="D12" s="11"/>
      <c r="E12" s="11"/>
      <c r="F12" s="31"/>
      <c r="G12" s="32"/>
      <c r="H12" s="11"/>
      <c r="I12" s="26"/>
      <c r="J12" s="27"/>
    </row>
    <row r="13" spans="1:10" ht="20.100000000000001" customHeight="1" x14ac:dyDescent="0.3"/>
    <row r="14" spans="1:10" ht="44.1" customHeight="1" x14ac:dyDescent="0.3">
      <c r="A14" s="7" t="s">
        <v>9</v>
      </c>
      <c r="B14" s="36" t="s">
        <v>29</v>
      </c>
      <c r="C14" s="36"/>
      <c r="D14" s="8" t="s">
        <v>30</v>
      </c>
      <c r="E14" s="7" t="s">
        <v>31</v>
      </c>
      <c r="F14" s="7" t="s">
        <v>32</v>
      </c>
      <c r="G14" s="7" t="s">
        <v>33</v>
      </c>
      <c r="H14" s="39" t="s">
        <v>34</v>
      </c>
      <c r="I14" s="39"/>
      <c r="J14" s="39"/>
    </row>
    <row r="15" spans="1:10" ht="20.100000000000001" customHeight="1" x14ac:dyDescent="0.3">
      <c r="A15" s="11">
        <v>1</v>
      </c>
      <c r="B15" s="26"/>
      <c r="C15" s="27"/>
      <c r="D15" s="11"/>
      <c r="E15" s="12" t="s">
        <v>35</v>
      </c>
      <c r="F15" s="11"/>
      <c r="G15" s="12" t="s">
        <v>35</v>
      </c>
      <c r="H15" s="40"/>
      <c r="I15" s="40"/>
      <c r="J15" s="40"/>
    </row>
    <row r="16" spans="1:10" ht="20.100000000000001" customHeight="1" x14ac:dyDescent="0.3">
      <c r="A16" s="11">
        <v>2</v>
      </c>
      <c r="B16" s="26"/>
      <c r="C16" s="27"/>
      <c r="D16" s="11"/>
      <c r="E16" s="12" t="s">
        <v>35</v>
      </c>
      <c r="F16" s="11"/>
      <c r="G16" s="12" t="s">
        <v>35</v>
      </c>
      <c r="H16" s="40"/>
      <c r="I16" s="40"/>
      <c r="J16" s="40"/>
    </row>
    <row r="17" spans="1:10" ht="20.100000000000001" customHeight="1" x14ac:dyDescent="0.3">
      <c r="A17" s="11">
        <v>3</v>
      </c>
      <c r="B17" s="34"/>
      <c r="C17" s="35"/>
      <c r="D17" s="4"/>
      <c r="E17" s="12" t="s">
        <v>35</v>
      </c>
      <c r="F17" s="4"/>
      <c r="G17" s="12" t="s">
        <v>35</v>
      </c>
      <c r="H17" s="38"/>
      <c r="I17" s="38"/>
      <c r="J17" s="38"/>
    </row>
    <row r="18" spans="1:10" ht="20.100000000000001" customHeight="1" x14ac:dyDescent="0.3">
      <c r="A18" s="11">
        <v>4</v>
      </c>
      <c r="B18" s="34"/>
      <c r="C18" s="35"/>
      <c r="D18" s="4"/>
      <c r="E18" s="12" t="s">
        <v>35</v>
      </c>
      <c r="F18" s="4"/>
      <c r="G18" s="12" t="s">
        <v>35</v>
      </c>
      <c r="H18" s="38"/>
      <c r="I18" s="38"/>
      <c r="J18" s="38"/>
    </row>
    <row r="19" spans="1:10" ht="20.100000000000001" customHeight="1" x14ac:dyDescent="0.3">
      <c r="A19" s="11">
        <v>5</v>
      </c>
      <c r="B19" s="34"/>
      <c r="C19" s="35"/>
      <c r="D19" s="4"/>
      <c r="E19" s="12" t="s">
        <v>35</v>
      </c>
      <c r="F19" s="4"/>
      <c r="G19" s="12" t="s">
        <v>35</v>
      </c>
      <c r="H19" s="38"/>
      <c r="I19" s="38"/>
      <c r="J19" s="38"/>
    </row>
    <row r="20" spans="1:10" ht="20.100000000000001" customHeight="1" x14ac:dyDescent="0.3">
      <c r="A20" s="11">
        <v>6</v>
      </c>
      <c r="B20" s="34"/>
      <c r="C20" s="35"/>
      <c r="D20" s="4"/>
      <c r="E20" s="12" t="s">
        <v>35</v>
      </c>
      <c r="F20" s="4"/>
      <c r="G20" s="12" t="s">
        <v>35</v>
      </c>
      <c r="H20" s="38"/>
      <c r="I20" s="38"/>
      <c r="J20" s="38"/>
    </row>
    <row r="21" spans="1:10" ht="20.100000000000001" customHeight="1" x14ac:dyDescent="0.3">
      <c r="A21" s="11">
        <v>7</v>
      </c>
      <c r="B21" s="34"/>
      <c r="C21" s="35"/>
      <c r="D21" s="4"/>
      <c r="E21" s="12" t="s">
        <v>35</v>
      </c>
      <c r="F21" s="4"/>
      <c r="G21" s="12" t="s">
        <v>35</v>
      </c>
      <c r="H21" s="38"/>
      <c r="I21" s="38"/>
      <c r="J21" s="38"/>
    </row>
    <row r="22" spans="1:10" ht="20.100000000000001" customHeight="1" x14ac:dyDescent="0.3">
      <c r="A22" s="11">
        <v>8</v>
      </c>
      <c r="B22" s="34"/>
      <c r="C22" s="35"/>
      <c r="D22" s="4"/>
      <c r="E22" s="12" t="s">
        <v>35</v>
      </c>
      <c r="F22" s="4"/>
      <c r="G22" s="12" t="s">
        <v>35</v>
      </c>
      <c r="H22" s="38"/>
      <c r="I22" s="38"/>
      <c r="J22" s="38"/>
    </row>
    <row r="23" spans="1:10" ht="20.100000000000001" customHeight="1" x14ac:dyDescent="0.3">
      <c r="A23" s="11">
        <v>9</v>
      </c>
      <c r="B23" s="34"/>
      <c r="C23" s="35"/>
      <c r="D23" s="4"/>
      <c r="E23" s="12" t="s">
        <v>35</v>
      </c>
      <c r="F23" s="4"/>
      <c r="G23" s="12" t="s">
        <v>35</v>
      </c>
      <c r="H23" s="38"/>
      <c r="I23" s="38"/>
      <c r="J23" s="38"/>
    </row>
    <row r="24" spans="1:10" ht="20.100000000000001" customHeight="1" x14ac:dyDescent="0.3">
      <c r="A24" s="11">
        <v>10</v>
      </c>
      <c r="B24" s="34"/>
      <c r="C24" s="35"/>
      <c r="D24" s="4"/>
      <c r="E24" s="12" t="s">
        <v>35</v>
      </c>
      <c r="F24" s="4"/>
      <c r="G24" s="12" t="s">
        <v>35</v>
      </c>
      <c r="H24" s="38"/>
      <c r="I24" s="38"/>
      <c r="J24" s="38"/>
    </row>
    <row r="25" spans="1:10" ht="20.100000000000001" customHeight="1" x14ac:dyDescent="0.3">
      <c r="A25" s="11">
        <v>11</v>
      </c>
      <c r="B25" s="34"/>
      <c r="C25" s="35"/>
      <c r="D25" s="4"/>
      <c r="E25" s="12" t="s">
        <v>35</v>
      </c>
      <c r="F25" s="4"/>
      <c r="G25" s="12" t="s">
        <v>35</v>
      </c>
      <c r="H25" s="38"/>
      <c r="I25" s="38"/>
      <c r="J25" s="38"/>
    </row>
    <row r="26" spans="1:10" ht="20.100000000000001" customHeight="1" x14ac:dyDescent="0.3">
      <c r="A26" s="11">
        <v>12</v>
      </c>
      <c r="B26" s="34"/>
      <c r="C26" s="35"/>
      <c r="D26" s="4"/>
      <c r="E26" s="12" t="s">
        <v>35</v>
      </c>
      <c r="F26" s="4"/>
      <c r="G26" s="12" t="s">
        <v>35</v>
      </c>
      <c r="H26" s="38"/>
      <c r="I26" s="38"/>
      <c r="J26" s="38"/>
    </row>
    <row r="27" spans="1:10" ht="20.100000000000001" customHeight="1" x14ac:dyDescent="0.3">
      <c r="A27" s="11">
        <v>13</v>
      </c>
      <c r="B27" s="34"/>
      <c r="C27" s="35"/>
      <c r="D27" s="4"/>
      <c r="E27" s="12" t="s">
        <v>35</v>
      </c>
      <c r="F27" s="4"/>
      <c r="G27" s="12" t="s">
        <v>35</v>
      </c>
      <c r="H27" s="38"/>
      <c r="I27" s="38"/>
      <c r="J27" s="38"/>
    </row>
    <row r="28" spans="1:10" ht="20.100000000000001" customHeight="1" x14ac:dyDescent="0.3">
      <c r="F28" s="7" t="s">
        <v>36</v>
      </c>
      <c r="G28" s="12" t="s">
        <v>35</v>
      </c>
      <c r="H28" s="14"/>
      <c r="I28" s="15"/>
      <c r="J28" s="16"/>
    </row>
    <row r="29" spans="1:10" ht="20.100000000000001" customHeight="1" x14ac:dyDescent="0.3">
      <c r="A29" s="9" t="s">
        <v>37</v>
      </c>
      <c r="B29" s="6"/>
      <c r="C29" s="10"/>
      <c r="D29" s="10"/>
      <c r="E29" s="10"/>
      <c r="F29" s="10"/>
      <c r="G29" s="10"/>
      <c r="H29" s="10"/>
      <c r="I29" s="10"/>
      <c r="J29" s="10"/>
    </row>
    <row r="30" spans="1:10" ht="20.100000000000001" customHeight="1" x14ac:dyDescent="0.3">
      <c r="A30" s="9" t="s">
        <v>38</v>
      </c>
      <c r="B30" s="6"/>
      <c r="C30" s="10"/>
      <c r="D30" s="10"/>
      <c r="E30" s="10"/>
      <c r="F30" s="10"/>
      <c r="G30" s="10"/>
      <c r="H30" s="10"/>
      <c r="I30" s="10"/>
      <c r="J30" s="10"/>
    </row>
    <row r="31" spans="1:10" ht="20.100000000000001" customHeight="1" x14ac:dyDescent="0.3">
      <c r="A31" s="28" t="s">
        <v>39</v>
      </c>
      <c r="B31" s="28"/>
      <c r="C31" s="28"/>
      <c r="D31" s="28"/>
      <c r="E31" s="28"/>
      <c r="F31" s="28"/>
      <c r="G31" s="28"/>
      <c r="H31" s="28"/>
      <c r="I31" s="28"/>
      <c r="J31" s="28"/>
    </row>
    <row r="32" spans="1:10" ht="20.100000000000001" customHeight="1" x14ac:dyDescent="0.3">
      <c r="A32" s="28" t="s">
        <v>40</v>
      </c>
      <c r="B32" s="28"/>
      <c r="C32" s="28"/>
      <c r="D32" s="28"/>
      <c r="E32" s="28"/>
      <c r="F32" s="28"/>
      <c r="G32" s="28"/>
      <c r="H32" s="28"/>
      <c r="I32" s="28"/>
      <c r="J32" s="28"/>
    </row>
    <row r="33" spans="1:10" ht="20.100000000000001" customHeight="1" x14ac:dyDescent="0.3">
      <c r="A33" s="28" t="s">
        <v>41</v>
      </c>
      <c r="B33" s="28"/>
      <c r="C33" s="28"/>
      <c r="D33" s="28"/>
      <c r="E33" s="28"/>
      <c r="F33" s="28"/>
      <c r="G33" s="28"/>
      <c r="H33" s="28"/>
      <c r="I33" s="28"/>
      <c r="J33" s="28"/>
    </row>
    <row r="34" spans="1:10" ht="20.100000000000001" customHeight="1" x14ac:dyDescent="0.3">
      <c r="A34" s="29" t="s">
        <v>42</v>
      </c>
      <c r="B34" s="30"/>
      <c r="C34" s="30"/>
      <c r="D34" s="30"/>
      <c r="E34" s="30"/>
      <c r="F34" s="30"/>
      <c r="G34" s="30"/>
      <c r="H34" s="30"/>
      <c r="I34" s="30"/>
      <c r="J34" s="30"/>
    </row>
  </sheetData>
  <mergeCells count="55">
    <mergeCell ref="A32:J32"/>
    <mergeCell ref="H24:J24"/>
    <mergeCell ref="H25:J25"/>
    <mergeCell ref="H26:J26"/>
    <mergeCell ref="H27:J27"/>
    <mergeCell ref="A31:J31"/>
    <mergeCell ref="H14:J14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A1:B1"/>
    <mergeCell ref="A2:B2"/>
    <mergeCell ref="A3:B3"/>
    <mergeCell ref="A4:B4"/>
    <mergeCell ref="A6:B6"/>
    <mergeCell ref="B7:C7"/>
    <mergeCell ref="B8:C8"/>
    <mergeCell ref="B9:C9"/>
    <mergeCell ref="B10:C10"/>
    <mergeCell ref="B11:C11"/>
    <mergeCell ref="B20:C20"/>
    <mergeCell ref="B21:C21"/>
    <mergeCell ref="B22:C22"/>
    <mergeCell ref="B12:C12"/>
    <mergeCell ref="B14:C14"/>
    <mergeCell ref="B15:C15"/>
    <mergeCell ref="B16:C16"/>
    <mergeCell ref="B17:C17"/>
    <mergeCell ref="A33:J33"/>
    <mergeCell ref="A34:J34"/>
    <mergeCell ref="I7:J7"/>
    <mergeCell ref="F7:G7"/>
    <mergeCell ref="F8:G8"/>
    <mergeCell ref="F9:G9"/>
    <mergeCell ref="F10:G10"/>
    <mergeCell ref="F11:G11"/>
    <mergeCell ref="B23:C23"/>
    <mergeCell ref="B24:C24"/>
    <mergeCell ref="B25:C25"/>
    <mergeCell ref="B26:C26"/>
    <mergeCell ref="B27:C27"/>
    <mergeCell ref="B18:C18"/>
    <mergeCell ref="B19:C19"/>
    <mergeCell ref="F12:G12"/>
    <mergeCell ref="I8:J8"/>
    <mergeCell ref="I9:J9"/>
    <mergeCell ref="I10:J10"/>
    <mergeCell ref="I11:J11"/>
    <mergeCell ref="I12:J12"/>
  </mergeCells>
  <hyperlinks>
    <hyperlink ref="F8" r:id="rId1" xr:uid="{3FE6F8BF-CE8C-42FD-9BE1-AA17508BD22E}"/>
    <hyperlink ref="F9" r:id="rId2" xr:uid="{B77D1A6A-C867-4313-8B0E-C0DA4004D5B7}"/>
    <hyperlink ref="F10" r:id="rId3" xr:uid="{810BEDC2-482E-4197-BC96-C922C0630CA4}"/>
    <hyperlink ref="F11" r:id="rId4" xr:uid="{0A475338-EED8-4273-A08F-4402095D1ED4}"/>
  </hyperlinks>
  <pageMargins left="0.7" right="0.7" top="0.75" bottom="0.75" header="0.3" footer="0.3"/>
  <pageSetup scale="62" orientation="landscape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813F6-2C30-4A35-803E-89F716136650}">
  <sheetPr>
    <pageSetUpPr fitToPage="1"/>
  </sheetPr>
  <dimension ref="A1:J30"/>
  <sheetViews>
    <sheetView showGridLines="0" tabSelected="1" zoomScale="66" zoomScaleNormal="70" workbookViewId="0">
      <selection activeCell="K15" sqref="K15"/>
    </sheetView>
  </sheetViews>
  <sheetFormatPr defaultColWidth="9.1328125" defaultRowHeight="12.4" x14ac:dyDescent="0.3"/>
  <cols>
    <col min="1" max="1" width="5.796875" style="5" customWidth="1"/>
    <col min="2" max="2" width="10.796875" style="5" customWidth="1"/>
    <col min="3" max="3" width="25.796875" style="3" customWidth="1"/>
    <col min="4" max="4" width="35.796875" style="3" customWidth="1"/>
    <col min="5" max="8" width="20.796875" style="3" customWidth="1"/>
    <col min="9" max="9" width="12.796875" style="3" customWidth="1"/>
    <col min="10" max="10" width="91.796875" style="3" customWidth="1"/>
    <col min="11" max="12" width="9.1328125" style="3"/>
    <col min="13" max="13" width="10.86328125" style="3" bestFit="1" customWidth="1"/>
    <col min="14" max="16" width="9.1328125" style="3"/>
    <col min="17" max="17" width="30.46484375" style="3" customWidth="1"/>
    <col min="18" max="16384" width="9.1328125" style="3"/>
  </cols>
  <sheetData>
    <row r="1" spans="1:10" s="2" customFormat="1" ht="20.100000000000001" customHeight="1" x14ac:dyDescent="0.3">
      <c r="A1" s="37" t="s">
        <v>0</v>
      </c>
      <c r="B1" s="37"/>
      <c r="C1" s="1" t="s">
        <v>1</v>
      </c>
      <c r="D1" s="1"/>
    </row>
    <row r="2" spans="1:10" s="2" customFormat="1" ht="20.100000000000001" customHeight="1" x14ac:dyDescent="0.3">
      <c r="A2" s="28" t="s">
        <v>2</v>
      </c>
      <c r="B2" s="28"/>
      <c r="C2" s="1" t="s">
        <v>3</v>
      </c>
      <c r="D2" s="13"/>
    </row>
    <row r="3" spans="1:10" s="2" customFormat="1" ht="24" customHeight="1" x14ac:dyDescent="0.3">
      <c r="A3" s="37" t="s">
        <v>4</v>
      </c>
      <c r="B3" s="37"/>
      <c r="C3" s="1" t="s">
        <v>5</v>
      </c>
      <c r="D3" s="13"/>
    </row>
    <row r="4" spans="1:10" s="2" customFormat="1" ht="26.25" customHeight="1" x14ac:dyDescent="0.3">
      <c r="A4" s="28" t="s">
        <v>6</v>
      </c>
      <c r="B4" s="28"/>
      <c r="C4" s="1" t="s">
        <v>7</v>
      </c>
      <c r="D4" s="13"/>
    </row>
    <row r="5" spans="1:10" s="2" customFormat="1" ht="20.100000000000001" customHeight="1" x14ac:dyDescent="0.3">
      <c r="A5" s="9"/>
      <c r="B5" s="9"/>
    </row>
    <row r="6" spans="1:10" ht="20.100000000000001" customHeight="1" x14ac:dyDescent="0.3">
      <c r="A6" s="37" t="s">
        <v>8</v>
      </c>
      <c r="B6" s="37"/>
    </row>
    <row r="7" spans="1:10" ht="20.100000000000001" customHeight="1" x14ac:dyDescent="0.3">
      <c r="A7" s="7" t="s">
        <v>9</v>
      </c>
      <c r="B7" s="31" t="s">
        <v>10</v>
      </c>
      <c r="C7" s="32"/>
      <c r="D7" s="7" t="s">
        <v>11</v>
      </c>
      <c r="E7" s="7" t="s">
        <v>12</v>
      </c>
      <c r="F7" s="31" t="s">
        <v>13</v>
      </c>
      <c r="G7" s="32"/>
      <c r="H7" s="7" t="s">
        <v>14</v>
      </c>
      <c r="I7" s="31" t="s">
        <v>15</v>
      </c>
      <c r="J7" s="32"/>
    </row>
    <row r="8" spans="1:10" ht="20.100000000000001" customHeight="1" x14ac:dyDescent="0.3">
      <c r="A8" s="11">
        <v>1</v>
      </c>
      <c r="B8" s="26" t="s">
        <v>16</v>
      </c>
      <c r="C8" s="27"/>
      <c r="D8" s="11" t="s">
        <v>17</v>
      </c>
      <c r="E8" s="11" t="s">
        <v>18</v>
      </c>
      <c r="F8" s="46" t="s">
        <v>19</v>
      </c>
      <c r="G8" s="32"/>
      <c r="H8" s="11">
        <v>86207648</v>
      </c>
      <c r="I8" s="26"/>
      <c r="J8" s="27"/>
    </row>
    <row r="9" spans="1:10" ht="20.100000000000001" customHeight="1" x14ac:dyDescent="0.3">
      <c r="A9" s="11">
        <v>2</v>
      </c>
      <c r="B9" s="26" t="s">
        <v>20</v>
      </c>
      <c r="C9" s="27"/>
      <c r="D9" s="11" t="s">
        <v>17</v>
      </c>
      <c r="E9" s="11" t="s">
        <v>21</v>
      </c>
      <c r="F9" s="46" t="s">
        <v>22</v>
      </c>
      <c r="G9" s="32"/>
      <c r="H9" s="11">
        <v>96607351</v>
      </c>
      <c r="I9" s="26"/>
      <c r="J9" s="27"/>
    </row>
    <row r="10" spans="1:10" ht="20.100000000000001" customHeight="1" x14ac:dyDescent="0.3">
      <c r="A10" s="11">
        <v>3</v>
      </c>
      <c r="B10" s="26" t="s">
        <v>23</v>
      </c>
      <c r="C10" s="27"/>
      <c r="D10" s="11" t="s">
        <v>17</v>
      </c>
      <c r="E10" s="11" t="s">
        <v>24</v>
      </c>
      <c r="F10" s="46" t="s">
        <v>25</v>
      </c>
      <c r="G10" s="32"/>
      <c r="H10" s="11">
        <v>90056866</v>
      </c>
      <c r="I10" s="26"/>
      <c r="J10" s="27"/>
    </row>
    <row r="11" spans="1:10" ht="20.100000000000001" customHeight="1" x14ac:dyDescent="0.3">
      <c r="A11" s="11">
        <v>4</v>
      </c>
      <c r="B11" s="26" t="s">
        <v>26</v>
      </c>
      <c r="C11" s="27"/>
      <c r="D11" s="11" t="s">
        <v>17</v>
      </c>
      <c r="E11" s="11" t="s">
        <v>27</v>
      </c>
      <c r="F11" s="46" t="s">
        <v>28</v>
      </c>
      <c r="G11" s="32"/>
      <c r="H11" s="17">
        <v>97671882</v>
      </c>
      <c r="I11" s="26"/>
      <c r="J11" s="27"/>
    </row>
    <row r="12" spans="1:10" ht="20.100000000000001" customHeight="1" x14ac:dyDescent="0.3">
      <c r="A12" s="11">
        <v>5</v>
      </c>
      <c r="B12" s="26"/>
      <c r="C12" s="27"/>
      <c r="D12" s="11"/>
      <c r="E12" s="11"/>
      <c r="F12" s="31"/>
      <c r="G12" s="32"/>
      <c r="H12" s="11"/>
      <c r="I12" s="26"/>
      <c r="J12" s="27"/>
    </row>
    <row r="13" spans="1:10" ht="20.100000000000001" customHeight="1" x14ac:dyDescent="0.3"/>
    <row r="14" spans="1:10" ht="44.1" customHeight="1" x14ac:dyDescent="0.3">
      <c r="A14" s="7" t="s">
        <v>9</v>
      </c>
      <c r="B14" s="36" t="s">
        <v>29</v>
      </c>
      <c r="C14" s="36"/>
      <c r="D14" s="8" t="s">
        <v>30</v>
      </c>
      <c r="E14" s="7" t="s">
        <v>31</v>
      </c>
      <c r="F14" s="7" t="s">
        <v>32</v>
      </c>
      <c r="G14" s="7" t="s">
        <v>33</v>
      </c>
      <c r="H14" s="39" t="s">
        <v>34</v>
      </c>
      <c r="I14" s="39"/>
      <c r="J14" s="39"/>
    </row>
    <row r="15" spans="1:10" ht="106.5" customHeight="1" x14ac:dyDescent="0.3">
      <c r="A15" s="11">
        <v>1</v>
      </c>
      <c r="B15" s="41" t="s">
        <v>60</v>
      </c>
      <c r="C15" s="42"/>
      <c r="D15" s="11" t="s">
        <v>43</v>
      </c>
      <c r="E15" s="18">
        <v>2.71</v>
      </c>
      <c r="F15" s="11">
        <v>1</v>
      </c>
      <c r="G15" s="18">
        <f>E15*F15</f>
        <v>2.71</v>
      </c>
      <c r="H15" s="43" t="s">
        <v>44</v>
      </c>
      <c r="I15" s="43"/>
      <c r="J15" s="43"/>
    </row>
    <row r="16" spans="1:10" ht="97.5" customHeight="1" x14ac:dyDescent="0.3">
      <c r="A16" s="11">
        <v>2</v>
      </c>
      <c r="B16" s="41" t="s">
        <v>59</v>
      </c>
      <c r="C16" s="42"/>
      <c r="D16" s="11" t="s">
        <v>43</v>
      </c>
      <c r="E16" s="18">
        <v>3.48</v>
      </c>
      <c r="F16" s="11">
        <v>1</v>
      </c>
      <c r="G16" s="18">
        <f>E16*F16</f>
        <v>3.48</v>
      </c>
      <c r="H16" s="43" t="s">
        <v>44</v>
      </c>
      <c r="I16" s="43"/>
      <c r="J16" s="43"/>
    </row>
    <row r="17" spans="1:10" ht="120" customHeight="1" x14ac:dyDescent="0.3">
      <c r="A17" s="11">
        <v>3</v>
      </c>
      <c r="B17" s="41" t="s">
        <v>45</v>
      </c>
      <c r="C17" s="42"/>
      <c r="D17" s="11" t="s">
        <v>43</v>
      </c>
      <c r="E17" s="18">
        <v>6.38</v>
      </c>
      <c r="F17" s="11">
        <v>2</v>
      </c>
      <c r="G17" s="18">
        <f t="shared" ref="G17" si="0">E17*F17</f>
        <v>12.76</v>
      </c>
      <c r="H17" s="43" t="s">
        <v>53</v>
      </c>
      <c r="I17" s="43"/>
      <c r="J17" s="43"/>
    </row>
    <row r="18" spans="1:10" ht="96.5" customHeight="1" x14ac:dyDescent="0.3">
      <c r="A18" s="11">
        <v>4</v>
      </c>
      <c r="B18" s="41" t="s">
        <v>58</v>
      </c>
      <c r="C18" s="42"/>
      <c r="D18" s="11" t="s">
        <v>43</v>
      </c>
      <c r="E18" s="18">
        <v>10.71</v>
      </c>
      <c r="F18" s="11">
        <v>2</v>
      </c>
      <c r="G18" s="18">
        <f t="shared" ref="G18" si="1">E18*F18</f>
        <v>21.42</v>
      </c>
      <c r="H18" s="43" t="s">
        <v>54</v>
      </c>
      <c r="I18" s="43"/>
      <c r="J18" s="43"/>
    </row>
    <row r="19" spans="1:10" ht="96.5" customHeight="1" x14ac:dyDescent="0.3">
      <c r="A19" s="11">
        <v>5</v>
      </c>
      <c r="B19" s="41" t="s">
        <v>46</v>
      </c>
      <c r="C19" s="42"/>
      <c r="D19" s="11" t="s">
        <v>43</v>
      </c>
      <c r="E19" s="18">
        <v>5.79</v>
      </c>
      <c r="F19" s="11">
        <v>1</v>
      </c>
      <c r="G19" s="18">
        <f t="shared" ref="G19" si="2">E19*F19</f>
        <v>5.79</v>
      </c>
      <c r="H19" s="43" t="s">
        <v>47</v>
      </c>
      <c r="I19" s="43"/>
      <c r="J19" s="43"/>
    </row>
    <row r="20" spans="1:10" ht="127.15" customHeight="1" x14ac:dyDescent="0.3">
      <c r="A20" s="11">
        <v>6</v>
      </c>
      <c r="B20" s="44" t="s">
        <v>52</v>
      </c>
      <c r="C20" s="45"/>
      <c r="D20" s="25" t="s">
        <v>43</v>
      </c>
      <c r="E20" s="18">
        <v>1.31</v>
      </c>
      <c r="F20" s="11">
        <v>2</v>
      </c>
      <c r="G20" s="18">
        <f t="shared" ref="G20" si="3">E20*F20</f>
        <v>2.62</v>
      </c>
      <c r="H20" s="43" t="s">
        <v>48</v>
      </c>
      <c r="I20" s="43"/>
      <c r="J20" s="43"/>
    </row>
    <row r="21" spans="1:10" ht="96.5" customHeight="1" x14ac:dyDescent="0.3">
      <c r="A21" s="11">
        <v>7</v>
      </c>
      <c r="B21" s="41" t="s">
        <v>49</v>
      </c>
      <c r="C21" s="42"/>
      <c r="D21" s="11" t="s">
        <v>43</v>
      </c>
      <c r="E21" s="18">
        <v>6.41</v>
      </c>
      <c r="F21" s="11">
        <v>2</v>
      </c>
      <c r="G21" s="18">
        <f t="shared" ref="G21" si="4">E21*F21</f>
        <v>12.82</v>
      </c>
      <c r="H21" s="43" t="s">
        <v>55</v>
      </c>
      <c r="I21" s="43"/>
      <c r="J21" s="43"/>
    </row>
    <row r="22" spans="1:10" ht="96.5" customHeight="1" x14ac:dyDescent="0.3">
      <c r="A22" s="11">
        <v>8</v>
      </c>
      <c r="B22" s="26" t="s">
        <v>50</v>
      </c>
      <c r="C22" s="27"/>
      <c r="D22" s="11" t="s">
        <v>43</v>
      </c>
      <c r="E22" s="18">
        <v>1.18</v>
      </c>
      <c r="F22" s="11">
        <v>5</v>
      </c>
      <c r="G22" s="18">
        <f t="shared" ref="G22" si="5">E22*F22</f>
        <v>5.8999999999999995</v>
      </c>
      <c r="H22" s="43" t="s">
        <v>56</v>
      </c>
      <c r="I22" s="43"/>
      <c r="J22" s="43"/>
    </row>
    <row r="23" spans="1:10" ht="96.5" customHeight="1" x14ac:dyDescent="0.3">
      <c r="A23" s="11">
        <v>9</v>
      </c>
      <c r="B23" s="41" t="s">
        <v>51</v>
      </c>
      <c r="C23" s="42"/>
      <c r="D23" s="11" t="s">
        <v>43</v>
      </c>
      <c r="E23" s="18">
        <v>33.590000000000003</v>
      </c>
      <c r="F23" s="11">
        <v>1</v>
      </c>
      <c r="G23" s="18">
        <f>E23</f>
        <v>33.590000000000003</v>
      </c>
      <c r="H23" s="43" t="s">
        <v>57</v>
      </c>
      <c r="I23" s="43"/>
      <c r="J23" s="43"/>
    </row>
    <row r="24" spans="1:10" ht="20.100000000000001" customHeight="1" x14ac:dyDescent="0.3">
      <c r="A24" s="11"/>
      <c r="B24" s="23"/>
      <c r="C24" s="24"/>
      <c r="D24" s="11"/>
      <c r="E24" s="18"/>
      <c r="F24" s="22" t="s">
        <v>36</v>
      </c>
      <c r="G24" s="12">
        <f>SUM(G16:G23)</f>
        <v>98.38</v>
      </c>
      <c r="H24" s="19"/>
      <c r="I24" s="20"/>
      <c r="J24" s="21"/>
    </row>
    <row r="25" spans="1:10" ht="20.100000000000001" customHeight="1" x14ac:dyDescent="0.3">
      <c r="A25" s="9" t="s">
        <v>37</v>
      </c>
      <c r="B25" s="6"/>
      <c r="C25" s="10"/>
      <c r="D25" s="10"/>
      <c r="E25" s="10"/>
      <c r="F25" s="10"/>
      <c r="G25" s="10"/>
      <c r="H25" s="10"/>
      <c r="I25" s="10"/>
      <c r="J25" s="10"/>
    </row>
    <row r="26" spans="1:10" ht="20.100000000000001" customHeight="1" x14ac:dyDescent="0.3">
      <c r="A26" s="9" t="s">
        <v>38</v>
      </c>
      <c r="B26" s="6"/>
      <c r="C26" s="10"/>
      <c r="D26" s="10"/>
      <c r="E26" s="10"/>
      <c r="F26" s="10"/>
      <c r="G26" s="10"/>
      <c r="H26" s="10"/>
      <c r="I26" s="10"/>
      <c r="J26" s="10"/>
    </row>
    <row r="27" spans="1:10" ht="20.100000000000001" customHeight="1" x14ac:dyDescent="0.3">
      <c r="A27" s="28" t="s">
        <v>39</v>
      </c>
      <c r="B27" s="28"/>
      <c r="C27" s="28"/>
      <c r="D27" s="28"/>
      <c r="E27" s="28"/>
      <c r="F27" s="28"/>
      <c r="G27" s="28"/>
      <c r="H27" s="28"/>
      <c r="I27" s="28"/>
      <c r="J27" s="28"/>
    </row>
    <row r="28" spans="1:10" ht="20.100000000000001" customHeight="1" x14ac:dyDescent="0.3">
      <c r="A28" s="28" t="s">
        <v>40</v>
      </c>
      <c r="B28" s="28"/>
      <c r="C28" s="28"/>
      <c r="D28" s="28"/>
      <c r="E28" s="28"/>
      <c r="F28" s="28"/>
      <c r="G28" s="28"/>
      <c r="H28" s="28"/>
      <c r="I28" s="28"/>
      <c r="J28" s="28"/>
    </row>
    <row r="29" spans="1:10" ht="20.100000000000001" customHeight="1" x14ac:dyDescent="0.3">
      <c r="A29" s="28" t="s">
        <v>41</v>
      </c>
      <c r="B29" s="28"/>
      <c r="C29" s="28"/>
      <c r="D29" s="28"/>
      <c r="E29" s="28"/>
      <c r="F29" s="28"/>
      <c r="G29" s="28"/>
      <c r="H29" s="28"/>
      <c r="I29" s="28"/>
      <c r="J29" s="28"/>
    </row>
    <row r="30" spans="1:10" ht="20.100000000000001" customHeight="1" x14ac:dyDescent="0.3">
      <c r="A30" s="29" t="s">
        <v>42</v>
      </c>
      <c r="B30" s="30"/>
      <c r="C30" s="30"/>
      <c r="D30" s="30"/>
      <c r="E30" s="30"/>
      <c r="F30" s="30"/>
      <c r="G30" s="30"/>
      <c r="H30" s="30"/>
      <c r="I30" s="30"/>
      <c r="J30" s="30"/>
    </row>
  </sheetData>
  <mergeCells count="47">
    <mergeCell ref="B15:C15"/>
    <mergeCell ref="H15:J15"/>
    <mergeCell ref="A29:J29"/>
    <mergeCell ref="A30:J30"/>
    <mergeCell ref="B18:C18"/>
    <mergeCell ref="B19:C19"/>
    <mergeCell ref="B20:C20"/>
    <mergeCell ref="H18:J18"/>
    <mergeCell ref="H19:J19"/>
    <mergeCell ref="H20:J20"/>
    <mergeCell ref="H21:J21"/>
    <mergeCell ref="H23:J23"/>
    <mergeCell ref="B22:C22"/>
    <mergeCell ref="H22:J22"/>
    <mergeCell ref="B17:C17"/>
    <mergeCell ref="H16:J16"/>
    <mergeCell ref="B16:C16"/>
    <mergeCell ref="A27:J27"/>
    <mergeCell ref="A28:J28"/>
    <mergeCell ref="B21:C21"/>
    <mergeCell ref="B23:C23"/>
    <mergeCell ref="H17:J17"/>
    <mergeCell ref="B12:C12"/>
    <mergeCell ref="F12:G12"/>
    <mergeCell ref="I12:J12"/>
    <mergeCell ref="B14:C14"/>
    <mergeCell ref="H14:J14"/>
    <mergeCell ref="B10:C10"/>
    <mergeCell ref="F10:G10"/>
    <mergeCell ref="I10:J10"/>
    <mergeCell ref="B11:C11"/>
    <mergeCell ref="F11:G11"/>
    <mergeCell ref="I11:J11"/>
    <mergeCell ref="B9:C9"/>
    <mergeCell ref="F9:G9"/>
    <mergeCell ref="I9:J9"/>
    <mergeCell ref="A1:B1"/>
    <mergeCell ref="A2:B2"/>
    <mergeCell ref="A3:B3"/>
    <mergeCell ref="A4:B4"/>
    <mergeCell ref="A6:B6"/>
    <mergeCell ref="B7:C7"/>
    <mergeCell ref="F7:G7"/>
    <mergeCell ref="I7:J7"/>
    <mergeCell ref="B8:C8"/>
    <mergeCell ref="F8:G8"/>
    <mergeCell ref="I8:J8"/>
  </mergeCells>
  <phoneticPr fontId="9" type="noConversion"/>
  <hyperlinks>
    <hyperlink ref="F8" r:id="rId1" xr:uid="{CF73DE21-31EC-4FB3-B896-DC42AE478305}"/>
    <hyperlink ref="F9" r:id="rId2" xr:uid="{3FE2E272-667A-4F5D-8FDB-C8E5245ABCCC}"/>
    <hyperlink ref="F10" r:id="rId3" xr:uid="{4C446B14-6ECB-4E01-9AB2-61D5F17D9338}"/>
    <hyperlink ref="F11" r:id="rId4" xr:uid="{F8B5EB95-66F3-426A-9125-36653FCE19C3}"/>
    <hyperlink ref="H16" r:id="rId5" display="https://shopee.sg/30Pcs-Reusable-Fastening-Cable-Straps-with-Buckle-Variety-Sizes-Multi-Purpose-Cinch-Strap-for-Bike-Boat-Extension-Cords-Ropes-Hoses-Organization-i.423823734.21436223776?xptdk=79ae1312-bf03-44f3-98ac-ad75b8e69f09" xr:uid="{71D1BFC6-7457-48FD-9B85-A67E891DAD4B}"/>
    <hyperlink ref="H17" r:id="rId6" display="https://shopee.sg/30Pcs-Reusable-Fastening-Cable-Straps-with-Buckle-Variety-Sizes-Multi-Purpose-Cinch-Strap-for-Bike-Boat-Extension-Cords-Ropes-Hoses-Organization-i.423823734.21436223776?xptdk=79ae1312-bf03-44f3-98ac-ad75b8e69f09" xr:uid="{4257FE18-AB1B-4FA9-8968-503EA26070AE}"/>
    <hyperlink ref="H18" r:id="rId7" display="https://shopee.sg/30Pcs-Reusable-Fastening-Cable-Straps-with-Buckle-Variety-Sizes-Multi-Purpose-Cinch-Strap-for-Bike-Boat-Extension-Cords-Ropes-Hoses-Organization-i.423823734.21436223776?xptdk=79ae1312-bf03-44f3-98ac-ad75b8e69f09" xr:uid="{89CE8335-74A2-42B6-A241-59C74E72FF39}"/>
    <hyperlink ref="H19" r:id="rId8" display="https://shopee.sg/30Pcs-Reusable-Fastening-Cable-Straps-with-Buckle-Variety-Sizes-Multi-Purpose-Cinch-Strap-for-Bike-Boat-Extension-Cords-Ropes-Hoses-Organization-i.423823734.21436223776?xptdk=79ae1312-bf03-44f3-98ac-ad75b8e69f09" xr:uid="{A5455F19-18B3-4482-80CC-F8BAE847C2AD}"/>
    <hyperlink ref="H20" r:id="rId9" display="https://shopee.sg/30Pcs-Reusable-Fastening-Cable-Straps-with-Buckle-Variety-Sizes-Multi-Purpose-Cinch-Strap-for-Bike-Boat-Extension-Cords-Ropes-Hoses-Organization-i.423823734.21436223776?xptdk=79ae1312-bf03-44f3-98ac-ad75b8e69f09" xr:uid="{A1019785-3C12-4E63-9C48-6662E6AB8342}"/>
    <hyperlink ref="H18:J18" r:id="rId10" display="Cytron: https://sg.cytron.io/p-adjustable-5a-dc-dc-power-module?r=1&amp;gad_source=1&amp;gclid=Cj0KCQjwjNS3BhChARIsAOxBM6o-rBDgZL-s7vnLaKbQx16S3-7BDo0BWcgdGnDiT4LBy_cNeQhz_MYaAonzEALw_wcB" xr:uid="{983C95AE-E308-4F3A-851E-21579D8B521C}"/>
    <hyperlink ref="H17:J17" r:id="rId11" location="nav-specification" display="Aliexpress: https://www.aliexpress.com/item/1005006967272924.html?spm=a2g0o.detail.pcDetailTopMoreOtherSeller.4.577aJuMcJuMcCG&amp;gps-id=pcDetailTopMoreOtherSeller&amp;scm=1007.40050.354490.0&amp;scm_id=1007.40050.354490.0&amp;scm-url=1007.40050.354490.0&amp;pvid=c7832fdf-58f0-4c42-ba8f-c80bf3aa41e1&amp;_t=gps-id:pcDetailTopMoreOtherSeller,scm-url:1007.40050.354490.0,pvid:c7832fdf-58f0-4c42-ba8f-c80bf3aa41e1,tpp_buckets:668%232846%238112%231997&amp;isseo=y&amp;pdp_npi=4%40dis%21SGD%2113.55%216.37%21%21%2171.88%2133.78%21%402101580317271648782564819e68d8%2112000038885978528%21rec%21SG%216057782174%21ABX&amp;utparam-url=scene%3ApcDetailTopMoreOtherSeller%7Cquery_from%3A#nav-specification" xr:uid="{060EB8E8-77DE-4141-896A-BAF23E959189}"/>
    <hyperlink ref="H21" r:id="rId12" display="https://shopee.sg/30Pcs-Reusable-Fastening-Cable-Straps-with-Buckle-Variety-Sizes-Multi-Purpose-Cinch-Strap-for-Bike-Boat-Extension-Cords-Ropes-Hoses-Organization-i.423823734.21436223776?xptdk=79ae1312-bf03-44f3-98ac-ad75b8e69f09" xr:uid="{D3B362E1-15AE-45E3-9431-A9820B8DB803}"/>
    <hyperlink ref="H22" r:id="rId13" display="https://shopee.sg/30Pcs-Reusable-Fastening-Cable-Straps-with-Buckle-Variety-Sizes-Multi-Purpose-Cinch-Strap-for-Bike-Boat-Extension-Cords-Ropes-Hoses-Organization-i.423823734.21436223776?xptdk=79ae1312-bf03-44f3-98ac-ad75b8e69f09" xr:uid="{113072D1-9CA4-41B6-A696-3F00B05CB081}"/>
    <hyperlink ref="H23" r:id="rId14" display="https://shopee.sg/30Pcs-Reusable-Fastening-Cable-Straps-with-Buckle-Variety-Sizes-Multi-Purpose-Cinch-Strap-for-Bike-Boat-Extension-Cords-Ropes-Hoses-Organization-i.423823734.21436223776?xptdk=79ae1312-bf03-44f3-98ac-ad75b8e69f09" xr:uid="{04191879-B8EA-485C-AA91-883530B1B5C0}"/>
    <hyperlink ref="H19:J19" r:id="rId15" display="Element14: https://sg.element14.com/mcm/28-720/terminal-strips-12-terminals/dp/2783670" xr:uid="{3A646944-1F0F-4353-9A9D-B106C9DB0BFE}"/>
    <hyperlink ref="H20:J20" r:id="rId16" display="Aliexpress: https://www.aliexpress.com/item/1005005904505797.html?spm=a2g0o.detail.pcDetailBottomMoreOtherSeller.7.2401kFiIkFiIvp&amp;gps-id=pcDetailBottomMoreOtherSeller&amp;scm=1007.40050.354490.0&amp;scm_id=1007.40050.354490.0&amp;scm-url=1007.40050.354490.0&amp;pvid=c1894cfd-c3bb-418c-b2dd-3e2a75533224&amp;_t=gps-id:pcDetailBottomMoreOtherSeller,scm-url:1007.40050.354490.0,pvid:c1894cfd-c3bb-418c-b2dd-3e2a75533224,tpp_buckets:668%232846%238112%231997&amp;isseo=y&amp;pdp_npi=4%40dis%21SGD%211.23%211.23%21%21%210.93%210.93%21%402141113617275505891166475e6d02%2112000034789784504%21rec%21SG%216057782174%21ABX&amp;utparam-url=scene%3ApcDetailBottomMoreOtherSeller%7Cquery_from%3A" xr:uid="{D734B7A6-F691-486C-B4AE-F552319D96BF}"/>
    <hyperlink ref="H21:J21" r:id="rId17" display="Element14: https://sg.element14.com/arduino/a000080/proto-board-arduino-mega-rev-3/dp/2285197?&amp;CMP=KNC-GSG-SHOPPING-PMAX-TOP-AOV-CATEGORY&amp;mckv=_dc%7Cpcrid%7C%7Cpkw%7C%7Cpmt%7C%7Cslid%7C%7Cproduct%7C2285197%7Cpgrid%7C%7Cptaid%7C%7C&amp;gad_source=1&amp;gclid=CjwKCAjw9eO3BhBNEiwAoc0-jcSTzd87qnpGWnOfGlN1t8-C0x4QCnHQEphUZ-E8CodaDBbJOZvVghoCnC0QAvD_BwE" xr:uid="{F0619E19-C9DD-44FB-A1D2-3F767860CEB5}"/>
    <hyperlink ref="H22:J22" r:id="rId18" display="Cytron: https://sg.cytron.io/p-5v-hc-sr04-ultrasonic-sensor" xr:uid="{872E3BF5-860C-4213-A826-085FD4278688}"/>
    <hyperlink ref="H23:J23" r:id="rId19" display="Element14: https://sg.element14.com/apem/a01es-df1-a0154b-d-a01yl1/e-stop-sw-dpst-nc-250v-qc-solder/dp/2815267?&amp;CMP=KNC-GSG-SHOPPING-PMAX-TOP-AOV-CATEGORY&amp;mckv=_dc%7Cpcrid%7C%7Cpkw%7C%7Cpmt%7C%7Cslid%7C%7Cproduct%7C2815267%7Cpgrid%7C%7Cptaid%7C%7C&amp;gad_source=1&amp;gclid=CjwKCAjw9eO3BhBNEiwAoc0-jTXjdrdQFeO7z4E0bDWcV1oup8r7Po3qKP1ZEA55O7xBGfQlgi0SUxoC6u4QAvD_BwE" xr:uid="{9AC61F73-CF40-4D48-8552-475F2B138FBD}"/>
    <hyperlink ref="H16:J16" r:id="rId20" display="Shopee: https://shopee.sg/30Pcs-Reusable-Fastening-Cable-Straps-with-Buckle-Variety-Sizes-Multi-Purpose-Cinch-Strap-for-Bike-Boat-Extension-Cords-Ropes-Hoses-Organization-i.423823734.21436223776?xptdk=79ae1312-bf03-44f3-98ac-ad75b8e69f09" xr:uid="{D0C009F6-16BF-4CF0-BCAA-49CAC8F89E9F}"/>
    <hyperlink ref="H15" r:id="rId21" display="https://shopee.sg/30Pcs-Reusable-Fastening-Cable-Straps-with-Buckle-Variety-Sizes-Multi-Purpose-Cinch-Strap-for-Bike-Boat-Extension-Cords-Ropes-Hoses-Organization-i.423823734.21436223776?xptdk=79ae1312-bf03-44f3-98ac-ad75b8e69f09" xr:uid="{5104123C-B147-49F7-8F99-0FF6C492C2AF}"/>
    <hyperlink ref="H15:J15" r:id="rId22" display="Shopee: https://shopee.sg/30Pcs-Reusable-Fastening-Cable-Straps-with-Buckle-Variety-Sizes-Multi-Purpose-Cinch-Strap-for-Bike-Boat-Extension-Cords-Ropes-Hoses-Organization-i.423823734.21436223776?xptdk=79ae1312-bf03-44f3-98ac-ad75b8e69f08" xr:uid="{4F767D2D-27AB-4ED8-9751-C82AA3520815}"/>
  </hyperlinks>
  <pageMargins left="0.7" right="0.7" top="0.75" bottom="0.75" header="0.3" footer="0.3"/>
  <pageSetup scale="53" orientation="landscape" r:id="rId2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422598-6492-471d-9d1f-9c77f43a94f7" xsi:nil="true"/>
    <lcf76f155ced4ddcb4097134ff3c332f xmlns="49548318-0a7b-4d65-bc43-907c956e523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5615753B5CCD43966271C4BDE5B13C" ma:contentTypeVersion="12" ma:contentTypeDescription="Create a new document." ma:contentTypeScope="" ma:versionID="07d938646584b3620a216412687bf4bb">
  <xsd:schema xmlns:xsd="http://www.w3.org/2001/XMLSchema" xmlns:xs="http://www.w3.org/2001/XMLSchema" xmlns:p="http://schemas.microsoft.com/office/2006/metadata/properties" xmlns:ns2="49548318-0a7b-4d65-bc43-907c956e523a" xmlns:ns3="c9422598-6492-471d-9d1f-9c77f43a94f7" targetNamespace="http://schemas.microsoft.com/office/2006/metadata/properties" ma:root="true" ma:fieldsID="f7b3de0ef6ad19dc03a2ca3c97ede2cd" ns2:_="" ns3:_="">
    <xsd:import namespace="49548318-0a7b-4d65-bc43-907c956e523a"/>
    <xsd:import namespace="c9422598-6492-471d-9d1f-9c77f43a94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8318-0a7b-4d65-bc43-907c956e52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22598-6492-471d-9d1f-9c77f43a94f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daf673d-7196-4f99-b5ca-d94ad85403b2}" ma:internalName="TaxCatchAll" ma:showField="CatchAllData" ma:web="c9422598-6492-471d-9d1f-9c77f43a94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3813DA-1F6E-4B3F-8B0D-5BC43EF42986}">
  <ds:schemaRefs>
    <ds:schemaRef ds:uri="http://schemas.microsoft.com/office/2006/metadata/properties"/>
    <ds:schemaRef ds:uri="http://purl.org/dc/terms/"/>
    <ds:schemaRef ds:uri="http://schemas.microsoft.com/office/infopath/2007/PartnerControls"/>
    <ds:schemaRef ds:uri="b29931fe-4fc5-436a-9e90-a11aaebbaaf1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openxmlformats.org/package/2006/metadata/core-properties"/>
    <ds:schemaRef ds:uri="2fd78287-9c13-4cc7-8a85-13ec0baf565a"/>
  </ds:schemaRefs>
</ds:datastoreItem>
</file>

<file path=customXml/itemProps2.xml><?xml version="1.0" encoding="utf-8"?>
<ds:datastoreItem xmlns:ds="http://schemas.openxmlformats.org/officeDocument/2006/customXml" ds:itemID="{F6BC68C6-5758-4330-9C46-920A642838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9BDAE9-0F19-4BDC-9CF5-8DDE94C658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Request Form</vt:lpstr>
      <vt:lpstr>Numba One</vt:lpstr>
    </vt:vector>
  </TitlesOfParts>
  <Manager/>
  <Company>NUS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Iris Ng</dc:creator>
  <cp:keywords/>
  <dc:description/>
  <cp:lastModifiedBy>Jeanette Sim</cp:lastModifiedBy>
  <cp:revision/>
  <dcterms:created xsi:type="dcterms:W3CDTF">2013-03-14T08:51:15Z</dcterms:created>
  <dcterms:modified xsi:type="dcterms:W3CDTF">2024-09-30T04:31:38Z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0x010100065615753B5CCD43966271C4BDE5B13C</vt:lpwstr>
  </property>
  <property fmtid="{D5CDD505-2E9C-101B-9397-08002B2CF9AE}" pid="3" name="MediaServiceImageTags">
    <vt:lpwstr/>
  </property>
</Properties>
</file>