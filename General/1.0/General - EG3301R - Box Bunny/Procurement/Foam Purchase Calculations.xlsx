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dfeb0dd0c44509/School/NUS/Year 4 Sem 1/EG3301R/"/>
    </mc:Choice>
  </mc:AlternateContent>
  <xr:revisionPtr revIDLastSave="80" documentId="8_{B4667AC2-26F1-4D8C-A100-1D048214A0D6}" xr6:coauthVersionLast="47" xr6:coauthVersionMax="47" xr10:uidLastSave="{A24E2F79-86F6-41CE-86B5-7E430100D3C0}"/>
  <bookViews>
    <workbookView xWindow="-120" yWindow="-120" windowWidth="29040" windowHeight="15720" xr2:uid="{96B816A2-935D-472D-A44B-038881E547B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  <c r="D45" i="1"/>
  <c r="D43" i="1"/>
  <c r="D41" i="1"/>
  <c r="D39" i="1"/>
  <c r="D36" i="1"/>
  <c r="D33" i="1"/>
  <c r="C49" i="1"/>
  <c r="C38" i="1"/>
  <c r="C39" i="1"/>
  <c r="C40" i="1"/>
  <c r="C41" i="1"/>
  <c r="C42" i="1"/>
  <c r="C43" i="1"/>
  <c r="C44" i="1"/>
  <c r="C45" i="1"/>
  <c r="C46" i="1"/>
  <c r="C47" i="1"/>
  <c r="C48" i="1"/>
  <c r="B37" i="1"/>
  <c r="B38" i="1"/>
  <c r="B39" i="1"/>
  <c r="B40" i="1"/>
  <c r="B41" i="1"/>
  <c r="B42" i="1"/>
  <c r="B43" i="1"/>
  <c r="B44" i="1"/>
  <c r="B45" i="1"/>
  <c r="B46" i="1"/>
  <c r="B47" i="1"/>
  <c r="B48" i="1"/>
  <c r="D20" i="1"/>
  <c r="D18" i="1"/>
  <c r="D16" i="1"/>
  <c r="D13" i="1"/>
  <c r="C11" i="1"/>
  <c r="C12" i="1"/>
  <c r="C13" i="1"/>
  <c r="C14" i="1"/>
  <c r="C15" i="1"/>
  <c r="C16" i="1"/>
  <c r="C17" i="1"/>
  <c r="C18" i="1"/>
  <c r="C19" i="1"/>
  <c r="C20" i="1"/>
  <c r="C21" i="1"/>
  <c r="D9" i="1"/>
  <c r="C22" i="1"/>
  <c r="B13" i="1"/>
  <c r="B14" i="1"/>
  <c r="B15" i="1"/>
  <c r="B16" i="1"/>
  <c r="B17" i="1"/>
  <c r="B18" i="1"/>
  <c r="B19" i="1"/>
  <c r="B20" i="1"/>
  <c r="B21" i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C37" i="1"/>
  <c r="B28" i="1"/>
  <c r="C28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B12" i="1"/>
  <c r="B3" i="1"/>
  <c r="C3" i="1" s="1"/>
</calcChain>
</file>

<file path=xl/sharedStrings.xml><?xml version="1.0" encoding="utf-8"?>
<sst xmlns="http://schemas.openxmlformats.org/spreadsheetml/2006/main" count="12" uniqueCount="9">
  <si>
    <t>Head Foam (height: 200mm / 7.87in)</t>
  </si>
  <si>
    <t>Radius (mm)</t>
  </si>
  <si>
    <t>Circumference (mm)</t>
  </si>
  <si>
    <t>Circumference (in)</t>
  </si>
  <si>
    <t>6 foams</t>
  </si>
  <si>
    <t>Total:</t>
  </si>
  <si>
    <t>Body Foam (height: 300mm / 11.81in)</t>
  </si>
  <si>
    <t>8 foams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</si>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</sst>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26A9-371E-418B-869E-9C414B5587F7}">
  <dimension ref="A1:F51"/>
  <sheetViews>
    <sheetView tabSelected="1" topLeftCell="A25" workbookViewId="0">
      <selection activeCell="F49" sqref="F49"/>
    </sheetView>
  </sheetViews>
  <sheetFormatPr defaultRowHeight="15"/>
  <cols>
    <col min="1" max="1" width="14.7109375" bestFit="1" customWidth="1"/>
    <col min="2" max="2" width="19.5703125" bestFit="1" customWidth="1"/>
    <col min="3" max="3" width="17.85546875" bestFit="1" customWidth="1"/>
    <col min="6" max="6" width="20" bestFit="1" customWidth="1"/>
  </cols>
  <sheetData>
    <row r="1" spans="1:4">
      <c r="A1" s="3" t="s">
        <v>0</v>
      </c>
      <c r="B1" s="3"/>
      <c r="C1" s="3"/>
    </row>
    <row r="2" spans="1:4">
      <c r="A2" s="2" t="s">
        <v>1</v>
      </c>
      <c r="B2" s="2" t="s">
        <v>2</v>
      </c>
      <c r="C2" s="2" t="s">
        <v>3</v>
      </c>
    </row>
    <row r="3" spans="1:4">
      <c r="A3" s="1">
        <v>15</v>
      </c>
      <c r="B3" s="1">
        <f>PI() * A3 * 2</f>
        <v>94.247779607693786</v>
      </c>
      <c r="C3" s="1">
        <f>B3/25.4</f>
        <v>3.7105425042399132</v>
      </c>
    </row>
    <row r="4" spans="1:4">
      <c r="A4" s="1">
        <v>20</v>
      </c>
      <c r="B4" s="1">
        <f t="shared" ref="B4:B21" si="0">PI() * A4 * 2</f>
        <v>125.66370614359172</v>
      </c>
      <c r="C4" s="1">
        <f t="shared" ref="C4:C21" si="1">B4/25.4</f>
        <v>4.9473900056532178</v>
      </c>
    </row>
    <row r="5" spans="1:4">
      <c r="A5" s="1">
        <v>25</v>
      </c>
      <c r="B5" s="1">
        <f t="shared" si="0"/>
        <v>157.07963267948966</v>
      </c>
      <c r="C5" s="1">
        <f t="shared" si="1"/>
        <v>6.1842375070665225</v>
      </c>
    </row>
    <row r="6" spans="1:4">
      <c r="A6" s="1">
        <v>30</v>
      </c>
      <c r="B6" s="1">
        <f t="shared" si="0"/>
        <v>188.49555921538757</v>
      </c>
      <c r="C6" s="1">
        <f t="shared" si="1"/>
        <v>7.4210850084798263</v>
      </c>
    </row>
    <row r="7" spans="1:4">
      <c r="A7" s="1">
        <v>35</v>
      </c>
      <c r="B7" s="1">
        <f t="shared" si="0"/>
        <v>219.91148575128551</v>
      </c>
      <c r="C7" s="1">
        <f t="shared" si="1"/>
        <v>8.657932509893131</v>
      </c>
    </row>
    <row r="8" spans="1:4">
      <c r="A8" s="1">
        <v>40</v>
      </c>
      <c r="B8" s="1">
        <f t="shared" si="0"/>
        <v>251.32741228718345</v>
      </c>
      <c r="C8" s="1">
        <f t="shared" si="1"/>
        <v>9.8947800113064357</v>
      </c>
    </row>
    <row r="9" spans="1:4">
      <c r="A9" s="1">
        <v>45</v>
      </c>
      <c r="B9" s="1">
        <f t="shared" si="0"/>
        <v>282.74333882308139</v>
      </c>
      <c r="C9" s="1">
        <f t="shared" si="1"/>
        <v>11.13162751271974</v>
      </c>
      <c r="D9">
        <f>SUM(C3:C9)</f>
        <v>51.947595059358783</v>
      </c>
    </row>
    <row r="10" spans="1:4">
      <c r="A10" s="1">
        <v>50</v>
      </c>
      <c r="B10" s="1">
        <f t="shared" si="0"/>
        <v>314.15926535897933</v>
      </c>
      <c r="C10" s="1">
        <f t="shared" si="1"/>
        <v>12.368475014133045</v>
      </c>
    </row>
    <row r="11" spans="1:4">
      <c r="A11" s="1">
        <v>55</v>
      </c>
      <c r="B11" s="1">
        <f t="shared" si="0"/>
        <v>345.57519189487726</v>
      </c>
      <c r="C11" s="1">
        <f t="shared" si="1"/>
        <v>13.60532251554635</v>
      </c>
    </row>
    <row r="12" spans="1:4">
      <c r="A12" s="1">
        <v>60</v>
      </c>
      <c r="B12" s="1">
        <f t="shared" si="0"/>
        <v>376.99111843077515</v>
      </c>
      <c r="C12" s="1">
        <f t="shared" si="1"/>
        <v>14.842170016959653</v>
      </c>
    </row>
    <row r="13" spans="1:4">
      <c r="A13" s="1">
        <v>65</v>
      </c>
      <c r="B13" s="1">
        <f>PI() * A13 * 2</f>
        <v>408.40704496667308</v>
      </c>
      <c r="C13" s="1">
        <f t="shared" si="1"/>
        <v>16.079017518372957</v>
      </c>
      <c r="D13">
        <f>SUM(C10:C13)</f>
        <v>56.894985065012001</v>
      </c>
    </row>
    <row r="14" spans="1:4">
      <c r="A14" s="1">
        <v>70</v>
      </c>
      <c r="B14" s="1">
        <f t="shared" si="0"/>
        <v>439.82297150257102</v>
      </c>
      <c r="C14" s="1">
        <f t="shared" si="1"/>
        <v>17.315865019786262</v>
      </c>
    </row>
    <row r="15" spans="1:4">
      <c r="A15" s="1">
        <v>75</v>
      </c>
      <c r="B15" s="1">
        <f t="shared" si="0"/>
        <v>471.23889803846896</v>
      </c>
      <c r="C15" s="1">
        <f t="shared" si="1"/>
        <v>18.552712521199567</v>
      </c>
    </row>
    <row r="16" spans="1:4">
      <c r="A16" s="1">
        <v>80</v>
      </c>
      <c r="B16" s="1">
        <f t="shared" si="0"/>
        <v>502.6548245743669</v>
      </c>
      <c r="C16" s="1">
        <f t="shared" si="1"/>
        <v>19.789560022612871</v>
      </c>
      <c r="D16">
        <f>SUM(C14:C16)</f>
        <v>55.6581375635987</v>
      </c>
    </row>
    <row r="17" spans="1:6">
      <c r="A17" s="1">
        <v>85</v>
      </c>
      <c r="B17" s="1">
        <f t="shared" si="0"/>
        <v>534.07075111026484</v>
      </c>
      <c r="C17" s="1">
        <f t="shared" si="1"/>
        <v>21.026407524026176</v>
      </c>
    </row>
    <row r="18" spans="1:6">
      <c r="A18" s="1">
        <v>90</v>
      </c>
      <c r="B18" s="1">
        <f t="shared" si="0"/>
        <v>565.48667764616278</v>
      </c>
      <c r="C18" s="1">
        <f t="shared" si="1"/>
        <v>22.263255025439481</v>
      </c>
      <c r="D18">
        <f>SUM(C17:C18)</f>
        <v>43.28966254946566</v>
      </c>
    </row>
    <row r="19" spans="1:6">
      <c r="A19" s="1">
        <v>95</v>
      </c>
      <c r="B19" s="1">
        <f t="shared" si="0"/>
        <v>596.90260418206071</v>
      </c>
      <c r="C19" s="1">
        <f t="shared" si="1"/>
        <v>23.500102526852785</v>
      </c>
    </row>
    <row r="20" spans="1:6">
      <c r="A20" s="1">
        <v>100</v>
      </c>
      <c r="B20" s="1">
        <f t="shared" si="0"/>
        <v>628.31853071795865</v>
      </c>
      <c r="C20" s="1">
        <f t="shared" si="1"/>
        <v>24.73695002826609</v>
      </c>
      <c r="D20">
        <f>SUM(C19:C20)</f>
        <v>48.237052555118879</v>
      </c>
    </row>
    <row r="21" spans="1:6">
      <c r="A21" s="1">
        <v>105</v>
      </c>
      <c r="B21" s="1">
        <f t="shared" si="0"/>
        <v>659.73445725385659</v>
      </c>
      <c r="C21" s="1">
        <f t="shared" si="1"/>
        <v>25.973797529679395</v>
      </c>
      <c r="F21" t="s">
        <v>4</v>
      </c>
    </row>
    <row r="22" spans="1:6">
      <c r="B22" t="s">
        <v>5</v>
      </c>
      <c r="C22">
        <f>SUM(C3:C21)</f>
        <v>282.00123032223348</v>
      </c>
    </row>
    <row r="26" spans="1:6">
      <c r="A26" s="5" t="s">
        <v>6</v>
      </c>
      <c r="B26" s="5"/>
      <c r="C26" s="5"/>
    </row>
    <row r="27" spans="1:6">
      <c r="A27" s="6" t="s">
        <v>1</v>
      </c>
      <c r="B27" s="6" t="s">
        <v>2</v>
      </c>
      <c r="C27" s="6" t="s">
        <v>3</v>
      </c>
    </row>
    <row r="28" spans="1:6">
      <c r="A28" s="6">
        <v>22.5</v>
      </c>
      <c r="B28" s="6">
        <f xml:space="preserve"> PI() *A28 * 2</f>
        <v>141.37166941154069</v>
      </c>
      <c r="C28" s="6">
        <f>B28/25.4</f>
        <v>5.5658137563598702</v>
      </c>
    </row>
    <row r="29" spans="1:6">
      <c r="A29" s="6">
        <v>27.5</v>
      </c>
      <c r="B29" s="6">
        <f t="shared" ref="B29:B48" si="2" xml:space="preserve"> PI() *A29 * 2</f>
        <v>172.78759594743863</v>
      </c>
      <c r="C29" s="6">
        <f t="shared" ref="C29:C48" si="3">B29/25.4</f>
        <v>6.8026612577731749</v>
      </c>
    </row>
    <row r="30" spans="1:6">
      <c r="A30" s="6">
        <v>32.5</v>
      </c>
      <c r="B30" s="6">
        <f t="shared" si="2"/>
        <v>204.20352248333654</v>
      </c>
      <c r="C30" s="6">
        <f t="shared" si="3"/>
        <v>8.0395087591864787</v>
      </c>
    </row>
    <row r="31" spans="1:6">
      <c r="A31" s="6">
        <v>37.5</v>
      </c>
      <c r="B31" s="6">
        <f t="shared" si="2"/>
        <v>235.61944901923448</v>
      </c>
      <c r="C31" s="6">
        <f t="shared" si="3"/>
        <v>9.2763562605997834</v>
      </c>
    </row>
    <row r="32" spans="1:6">
      <c r="A32" s="6">
        <v>42.5</v>
      </c>
      <c r="B32" s="6">
        <f t="shared" si="2"/>
        <v>267.03537555513242</v>
      </c>
      <c r="C32" s="6">
        <f t="shared" si="3"/>
        <v>10.513203762013088</v>
      </c>
    </row>
    <row r="33" spans="1:6">
      <c r="A33" s="6">
        <v>47.5</v>
      </c>
      <c r="B33" s="6">
        <f t="shared" si="2"/>
        <v>298.45130209103036</v>
      </c>
      <c r="C33" s="6">
        <f t="shared" si="3"/>
        <v>11.750051263426393</v>
      </c>
      <c r="D33">
        <f>SUM(C28:C33)</f>
        <v>51.947595059358783</v>
      </c>
    </row>
    <row r="34" spans="1:6">
      <c r="A34" s="6">
        <v>52.5</v>
      </c>
      <c r="B34" s="6">
        <f t="shared" si="2"/>
        <v>329.86722862692829</v>
      </c>
      <c r="C34" s="6">
        <f t="shared" si="3"/>
        <v>12.986898764839697</v>
      </c>
    </row>
    <row r="35" spans="1:6">
      <c r="A35" s="6">
        <v>57.5</v>
      </c>
      <c r="B35" s="6">
        <f t="shared" si="2"/>
        <v>361.28315516282623</v>
      </c>
      <c r="C35" s="6">
        <f t="shared" si="3"/>
        <v>14.223746266253002</v>
      </c>
    </row>
    <row r="36" spans="1:6">
      <c r="A36" s="6">
        <v>62.5</v>
      </c>
      <c r="B36" s="6">
        <f t="shared" si="2"/>
        <v>392.69908169872411</v>
      </c>
      <c r="C36" s="6">
        <f t="shared" si="3"/>
        <v>15.460593767666305</v>
      </c>
      <c r="D36">
        <f>SUM(C34:C36)</f>
        <v>42.671238798759006</v>
      </c>
    </row>
    <row r="37" spans="1:6">
      <c r="A37" s="6">
        <v>67.5</v>
      </c>
      <c r="B37" s="6">
        <f t="shared" si="2"/>
        <v>424.11500823462205</v>
      </c>
      <c r="C37" s="6">
        <f t="shared" si="3"/>
        <v>16.697441269079608</v>
      </c>
    </row>
    <row r="38" spans="1:6">
      <c r="A38" s="6">
        <v>72.5</v>
      </c>
      <c r="B38" s="6">
        <f t="shared" si="2"/>
        <v>455.53093477051999</v>
      </c>
      <c r="C38" s="6">
        <f t="shared" si="3"/>
        <v>17.934288770492913</v>
      </c>
    </row>
    <row r="39" spans="1:6">
      <c r="A39" s="6">
        <v>77.5</v>
      </c>
      <c r="B39" s="6">
        <f t="shared" si="2"/>
        <v>486.94686130641793</v>
      </c>
      <c r="C39" s="6">
        <f t="shared" si="3"/>
        <v>19.171136271906217</v>
      </c>
      <c r="D39">
        <f>SUM(C37:C39)</f>
        <v>53.802866311478738</v>
      </c>
    </row>
    <row r="40" spans="1:6">
      <c r="A40" s="6">
        <v>82.5</v>
      </c>
      <c r="B40" s="6">
        <f t="shared" si="2"/>
        <v>518.36278784231581</v>
      </c>
      <c r="C40" s="6">
        <f t="shared" si="3"/>
        <v>20.407983773319522</v>
      </c>
    </row>
    <row r="41" spans="1:6">
      <c r="A41" s="6">
        <v>87.5</v>
      </c>
      <c r="B41" s="6">
        <f t="shared" si="2"/>
        <v>549.77871437821375</v>
      </c>
      <c r="C41" s="6">
        <f t="shared" si="3"/>
        <v>21.644831274732827</v>
      </c>
      <c r="D41">
        <f>SUM(C40:C41)</f>
        <v>42.052815048052352</v>
      </c>
    </row>
    <row r="42" spans="1:6">
      <c r="A42" s="6">
        <v>92.5</v>
      </c>
      <c r="B42" s="6">
        <f t="shared" si="2"/>
        <v>581.19464091411169</v>
      </c>
      <c r="C42" s="6">
        <f t="shared" si="3"/>
        <v>22.881678776146131</v>
      </c>
    </row>
    <row r="43" spans="1:6">
      <c r="A43" s="6">
        <v>97.5</v>
      </c>
      <c r="B43" s="6">
        <f t="shared" si="2"/>
        <v>612.61056745000963</v>
      </c>
      <c r="C43" s="6">
        <f t="shared" si="3"/>
        <v>24.118526277559436</v>
      </c>
      <c r="D43">
        <f>SUM(C42:C43)</f>
        <v>47.000205053705571</v>
      </c>
    </row>
    <row r="44" spans="1:6">
      <c r="A44" s="6">
        <v>102.5</v>
      </c>
      <c r="B44" s="6">
        <f t="shared" si="2"/>
        <v>644.02649398590756</v>
      </c>
      <c r="C44" s="6">
        <f t="shared" si="3"/>
        <v>25.355373778972741</v>
      </c>
    </row>
    <row r="45" spans="1:6">
      <c r="A45" s="6">
        <v>107.5</v>
      </c>
      <c r="B45" s="6">
        <f t="shared" si="2"/>
        <v>675.4424205218055</v>
      </c>
      <c r="C45" s="6">
        <f t="shared" si="3"/>
        <v>26.592221280386045</v>
      </c>
      <c r="D45">
        <f>SUM(C44:C45)</f>
        <v>51.94759505935879</v>
      </c>
    </row>
    <row r="46" spans="1:6">
      <c r="A46" s="6">
        <v>112.5</v>
      </c>
      <c r="B46" s="6">
        <f t="shared" si="2"/>
        <v>706.85834705770344</v>
      </c>
      <c r="C46" s="6">
        <f t="shared" si="3"/>
        <v>27.82906878179935</v>
      </c>
    </row>
    <row r="47" spans="1:6">
      <c r="A47" s="6">
        <v>117.5</v>
      </c>
      <c r="B47" s="6">
        <f t="shared" si="2"/>
        <v>738.27427359360138</v>
      </c>
      <c r="C47" s="6">
        <f t="shared" si="3"/>
        <v>29.065916283212655</v>
      </c>
      <c r="D47">
        <f>SUM(C46:C47)</f>
        <v>56.894985065012008</v>
      </c>
    </row>
    <row r="48" spans="1:6">
      <c r="A48" s="6">
        <v>122.5</v>
      </c>
      <c r="B48" s="6">
        <f t="shared" si="2"/>
        <v>769.69020012949932</v>
      </c>
      <c r="C48" s="6">
        <f t="shared" si="3"/>
        <v>30.302763784625959</v>
      </c>
      <c r="F48" t="s">
        <v>7</v>
      </c>
    </row>
    <row r="49" spans="1:3">
      <c r="A49" s="4"/>
      <c r="B49" s="4" t="s">
        <v>8</v>
      </c>
      <c r="C49">
        <f>SUM(C28:C48)</f>
        <v>376.62006418035116</v>
      </c>
    </row>
    <row r="50" spans="1:3">
      <c r="A50" s="4"/>
      <c r="B50" s="4"/>
    </row>
    <row r="51" spans="1:3">
      <c r="A51" s="4"/>
      <c r="B51" s="4"/>
    </row>
  </sheetData>
  <mergeCells count="2">
    <mergeCell ref="A1:C1"/>
    <mergeCell ref="A26:C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422598-6492-471d-9d1f-9c77f43a94f7" xsi:nil="true"/>
    <lcf76f155ced4ddcb4097134ff3c332f xmlns="49548318-0a7b-4d65-bc43-907c956e523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5615753B5CCD43966271C4BDE5B13C" ma:contentTypeVersion="12" ma:contentTypeDescription="Create a new document." ma:contentTypeScope="" ma:versionID="07d938646584b3620a216412687bf4bb">
  <xsd:schema xmlns:xsd="http://www.w3.org/2001/XMLSchema" xmlns:xs="http://www.w3.org/2001/XMLSchema" xmlns:p="http://schemas.microsoft.com/office/2006/metadata/properties" xmlns:ns2="49548318-0a7b-4d65-bc43-907c956e523a" xmlns:ns3="c9422598-6492-471d-9d1f-9c77f43a94f7" targetNamespace="http://schemas.microsoft.com/office/2006/metadata/properties" ma:root="true" ma:fieldsID="f7b3de0ef6ad19dc03a2ca3c97ede2cd" ns2:_="" ns3:_="">
    <xsd:import namespace="49548318-0a7b-4d65-bc43-907c956e523a"/>
    <xsd:import namespace="c9422598-6492-471d-9d1f-9c77f43a9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8318-0a7b-4d65-bc43-907c956e5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22598-6492-471d-9d1f-9c77f43a94f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af673d-7196-4f99-b5ca-d94ad85403b2}" ma:internalName="TaxCatchAll" ma:showField="CatchAllData" ma:web="c9422598-6492-471d-9d1f-9c77f43a9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B20D31-8876-45D0-B7FA-12E0E5061972}"/>
</file>

<file path=customXml/itemProps2.xml><?xml version="1.0" encoding="utf-8"?>
<ds:datastoreItem xmlns:ds="http://schemas.openxmlformats.org/officeDocument/2006/customXml" ds:itemID="{147FB151-3FB4-4FA5-A7F6-324176D8FE70}"/>
</file>

<file path=customXml/itemProps3.xml><?xml version="1.0" encoding="utf-8"?>
<ds:datastoreItem xmlns:ds="http://schemas.openxmlformats.org/officeDocument/2006/customXml" ds:itemID="{B1C34CC8-16C5-4553-AEF2-0F48CF93A8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Kisa</dc:creator>
  <cp:keywords/>
  <dc:description/>
  <cp:lastModifiedBy>Mageshkumar Kirubasankar</cp:lastModifiedBy>
  <cp:revision/>
  <dcterms:created xsi:type="dcterms:W3CDTF">2024-08-22T12:54:42Z</dcterms:created>
  <dcterms:modified xsi:type="dcterms:W3CDTF">2024-08-22T14:31:55Z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0x010100065615753B5CCD43966271C4BDE5B13C</vt:lpwstr>
  </property>
</Properties>
</file>