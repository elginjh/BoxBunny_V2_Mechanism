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nusu.sharepoint.com/sites/CDE4301BoxBunny2/Shared Documents/General/Procurement/"/>
    </mc:Choice>
  </mc:AlternateContent>
  <xr:revisionPtr revIDLastSave="234" documentId="11_F25DC773A252ABDACC1048A2E91A78C85BDE58EF" xr6:coauthVersionLast="47" xr6:coauthVersionMax="47" xr10:uidLastSave="{51FAFD4C-24F3-4B86-BC0B-736118EAC01E}"/>
  <bookViews>
    <workbookView xWindow="-25693" yWindow="-947" windowWidth="25786" windowHeight="14587" xr2:uid="{00000000-000D-0000-FFFF-FFFF00000000}"/>
  </bookViews>
  <sheets>
    <sheet name="Budget Track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D37" i="1" s="1"/>
</calcChain>
</file>

<file path=xl/sharedStrings.xml><?xml version="1.0" encoding="utf-8"?>
<sst xmlns="http://schemas.openxmlformats.org/spreadsheetml/2006/main" count="38" uniqueCount="38">
  <si>
    <t>Items Purchased</t>
  </si>
  <si>
    <t>TOTAL SPENT</t>
  </si>
  <si>
    <t>TOTAL BUDGET</t>
  </si>
  <si>
    <t>TOTAL REMAINING</t>
  </si>
  <si>
    <t>Total Cost</t>
  </si>
  <si>
    <t>LPI #</t>
  </si>
  <si>
    <t>4x Damiao DM-J4310-2EC Motor (Including driver) + 1x USB to CAN debugging tool</t>
  </si>
  <si>
    <t>1x Worm Gear DHK2T Screw Jack + 0.37kW 3-phase AC Motor</t>
  </si>
  <si>
    <t>8080 Aluminium Extrusion:
PTP-8080H-8 SLOT PROFILE
1x L=900MM
1x L=230MM</t>
  </si>
  <si>
    <t>Steel Material &amp; Welding:
-SHS Tube 120x120mm inT10mm
-Steel Plate 320x320mm inT10mm</t>
  </si>
  <si>
    <t>UGREEN USB C Cable Type C Cable, USB A to USB C Lead, QC 3.0 Fast Charging Nylon Cord, Data Transfer
[3m, straight]</t>
  </si>
  <si>
    <t>Cursor Subscription Mthly
[Pro+ -- 3x usage on all OpenAI, Claude, Gemini models]</t>
  </si>
  <si>
    <t>Colab Pro Subscription Mthly</t>
  </si>
  <si>
    <t>Colab Pro Additional 100 Compute Units</t>
  </si>
  <si>
    <t>WEICON Rust Converter - 400ml</t>
  </si>
  <si>
    <t>WEICON Zinc Spray - 400ml</t>
  </si>
  <si>
    <t>Nippon Paint Pylox Spray Paint - 47 Matte BLACK</t>
  </si>
  <si>
    <t>Replacement Wheels for Casters (680g)
[RMNA100]</t>
  </si>
  <si>
    <t>SSFH-640SF-SUS (RIVET NUT FOR BASE_FEET)
POP STANDARD NUT SSFHSF  (32g)
POP_RIVETS</t>
  </si>
  <si>
    <t>KCLSBF12-62 (PIN FOR REAR WHEELS)
Pivot Pins - Diameter Tolerance Selectable (160g)
MISUMI</t>
  </si>
  <si>
    <t>C-CFFRUCS10-22 (FOR ROLLER)
Nylon Coated Cam Followers (224g)
MISUMI</t>
  </si>
  <si>
    <t>CMFLB10-25 (FOR ROLLER)
Brackets for Cam Followers-L-Shaped CAMFOLLOWER  (4g)
MISUMI</t>
  </si>
  <si>
    <t>Steel Material &amp; Welding:
- fab2_circular bottom: 15mm A6061- Machining ($72)
- fab2_circular top: 10mm A6061- Machining ($245)
- weld2_base feet: 3mm RHS75*50- Primer &amp; Powder coat ($245)
- weld2_base plate: 5mm MS- Primer &amp; Powder coat ($110)</t>
  </si>
  <si>
    <t>Raspberry Pi 10.1" HDMI Type-C Capacitive Touch LCD with Case 1280x800</t>
  </si>
  <si>
    <t xml:space="preserve">Timing Belt:
Rubber timing belt HTD8M936/944/952/960/968/976/984/992/1000/1008
[HTD8M968 x1, HTD8M984 x1]
</t>
  </si>
  <si>
    <t>Small Pulley
[HTD8M 20 teeth 32mm width 15mm inner hole]</t>
  </si>
  <si>
    <t>Large Pulley
[HTD8M 70 teeth 32mm width 16mm inner hole]</t>
  </si>
  <si>
    <t>Idler Pulley
[HTD8M smooth surface 32mm width 10mm inner hole]</t>
  </si>
  <si>
    <t>Timing Belt:
Rubber timing belt HTD8M936/944/952/960/968/976/984/992/1000/1008
[HTD8M952]</t>
  </si>
  <si>
    <t>Anti-slip self-adhesive tape
[10.0 cm wide * 2 m long [Black]]</t>
  </si>
  <si>
    <t>3D Printing Filament Rolls
[PETG BLACK 1kg x6]</t>
  </si>
  <si>
    <t>Spring
[14cm length]</t>
  </si>
  <si>
    <t>Nail Gun Refill -- Max Refill 1208-FA</t>
  </si>
  <si>
    <t>Wooden Plate - PINE Val Plaque 5x7 Oval Plaid x3</t>
  </si>
  <si>
    <t>ZEPHYR VINYL, BROWN, 137CM</t>
  </si>
  <si>
    <t>Sponge (FOR PADDING CUSHION):
高密度海绵垫子防震海绵块可裁剪海棉沙发靠背软包长条海绵坐垫片 High-density sponge cushions, shock-absorbing sponge blocks, cuttable sponge sofa backrest upholstery, long strip sponge
[10cm thick, 50cm*50cm]</t>
  </si>
  <si>
    <t xml:space="preserve">BASSWOOD PLYWOOD 22x15cm [x4] </t>
  </si>
  <si>
    <t>AXIS Semi-SS Hose Clamps 32s 2 [x4]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</si>
</sst>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wrapText="1"/>
    </xf>
    <xf numFmtId="0" fontId="1" fillId="2" borderId="0" xfId="0" applyFont="1" applyFill="1" applyAlignment="1">
      <alignment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2" borderId="0" xfId="0" applyFont="1" applyFill="1" applyAlignment="1">
      <alignment wrapText="1"/>
    </xf>
    <xf numFmtId="164" fontId="3"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4" fontId="0" fillId="4" borderId="0" xfId="0" applyNumberFormat="1" applyFill="1" applyAlignment="1">
      <alignment horizontal="center" vertical="center"/>
    </xf>
    <xf numFmtId="164" fontId="0" fillId="4"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7"/>
  <sheetViews>
    <sheetView tabSelected="1" zoomScaleNormal="100" workbookViewId="0">
      <selection activeCell="G5" sqref="G5"/>
    </sheetView>
  </sheetViews>
  <sheetFormatPr defaultRowHeight="14.25" x14ac:dyDescent="0.45"/>
  <cols>
    <col min="2" max="2" width="17.19921875" style="1" customWidth="1"/>
    <col min="3" max="3" width="62.19921875" style="1" customWidth="1"/>
    <col min="4" max="4" width="12.53125" customWidth="1"/>
  </cols>
  <sheetData>
    <row r="2" spans="2:4" x14ac:dyDescent="0.45">
      <c r="B2" s="3" t="s">
        <v>5</v>
      </c>
      <c r="C2" s="4" t="s">
        <v>0</v>
      </c>
      <c r="D2" s="5" t="s">
        <v>4</v>
      </c>
    </row>
    <row r="3" spans="2:4" ht="28.5" x14ac:dyDescent="0.45">
      <c r="B3" s="6">
        <v>1</v>
      </c>
      <c r="C3" s="1" t="s">
        <v>6</v>
      </c>
      <c r="D3" s="10">
        <v>528.17999999999995</v>
      </c>
    </row>
    <row r="4" spans="2:4" x14ac:dyDescent="0.45">
      <c r="B4" s="6">
        <v>2</v>
      </c>
      <c r="C4" s="1" t="s">
        <v>7</v>
      </c>
      <c r="D4" s="10">
        <v>211.86</v>
      </c>
    </row>
    <row r="5" spans="2:4" ht="57" x14ac:dyDescent="0.45">
      <c r="B5" s="6">
        <v>3</v>
      </c>
      <c r="C5" s="1" t="s">
        <v>8</v>
      </c>
      <c r="D5" s="10">
        <v>99.41</v>
      </c>
    </row>
    <row r="6" spans="2:4" ht="42.75" x14ac:dyDescent="0.45">
      <c r="B6" s="6">
        <v>4</v>
      </c>
      <c r="C6" s="1" t="s">
        <v>9</v>
      </c>
      <c r="D6" s="10">
        <v>223.45</v>
      </c>
    </row>
    <row r="7" spans="2:4" ht="42.75" x14ac:dyDescent="0.45">
      <c r="B7" s="6">
        <v>5</v>
      </c>
      <c r="C7" s="2" t="s">
        <v>10</v>
      </c>
      <c r="D7" s="10">
        <v>12.98</v>
      </c>
    </row>
    <row r="8" spans="2:4" ht="28.5" x14ac:dyDescent="0.45">
      <c r="B8" s="6">
        <v>6</v>
      </c>
      <c r="C8" s="2" t="s">
        <v>11</v>
      </c>
      <c r="D8" s="10">
        <v>78.72</v>
      </c>
    </row>
    <row r="9" spans="2:4" x14ac:dyDescent="0.45">
      <c r="B9" s="6">
        <v>7</v>
      </c>
      <c r="C9" s="2" t="s">
        <v>12</v>
      </c>
      <c r="D9" s="10">
        <v>14.46</v>
      </c>
    </row>
    <row r="10" spans="2:4" x14ac:dyDescent="0.45">
      <c r="B10" s="6">
        <v>8</v>
      </c>
      <c r="C10" s="2" t="s">
        <v>13</v>
      </c>
      <c r="D10" s="10">
        <v>14.46</v>
      </c>
    </row>
    <row r="11" spans="2:4" x14ac:dyDescent="0.45">
      <c r="B11" s="6">
        <v>9</v>
      </c>
      <c r="C11" s="1" t="s">
        <v>14</v>
      </c>
      <c r="D11" s="10">
        <v>24.4</v>
      </c>
    </row>
    <row r="12" spans="2:4" x14ac:dyDescent="0.45">
      <c r="B12" s="6">
        <v>10</v>
      </c>
      <c r="C12" s="2" t="s">
        <v>15</v>
      </c>
      <c r="D12" s="10">
        <v>24.4</v>
      </c>
    </row>
    <row r="13" spans="2:4" x14ac:dyDescent="0.45">
      <c r="B13" s="6">
        <v>11</v>
      </c>
      <c r="C13" s="2" t="s">
        <v>16</v>
      </c>
      <c r="D13" s="10">
        <v>10.6</v>
      </c>
    </row>
    <row r="14" spans="2:4" ht="28.5" x14ac:dyDescent="0.45">
      <c r="B14" s="6">
        <v>12</v>
      </c>
      <c r="C14" s="2" t="s">
        <v>25</v>
      </c>
      <c r="D14" s="11">
        <v>107.82</v>
      </c>
    </row>
    <row r="15" spans="2:4" ht="28.5" x14ac:dyDescent="0.45">
      <c r="B15" s="6">
        <v>13</v>
      </c>
      <c r="C15" s="2" t="s">
        <v>26</v>
      </c>
      <c r="D15" s="11"/>
    </row>
    <row r="16" spans="2:4" ht="28.5" x14ac:dyDescent="0.45">
      <c r="B16" s="6">
        <v>14</v>
      </c>
      <c r="C16" s="2" t="s">
        <v>27</v>
      </c>
      <c r="D16" s="11"/>
    </row>
    <row r="17" spans="2:4" ht="42.75" x14ac:dyDescent="0.45">
      <c r="B17" s="6">
        <v>15</v>
      </c>
      <c r="C17" s="2" t="s">
        <v>28</v>
      </c>
      <c r="D17" s="11"/>
    </row>
    <row r="18" spans="2:4" ht="28.5" x14ac:dyDescent="0.45">
      <c r="B18" s="6">
        <v>16</v>
      </c>
      <c r="C18" s="2" t="s">
        <v>29</v>
      </c>
      <c r="D18" s="11"/>
    </row>
    <row r="19" spans="2:4" ht="28.5" x14ac:dyDescent="0.45">
      <c r="B19" s="6">
        <v>17</v>
      </c>
      <c r="C19" s="2" t="s">
        <v>30</v>
      </c>
      <c r="D19" s="11"/>
    </row>
    <row r="20" spans="2:4" ht="28.5" x14ac:dyDescent="0.45">
      <c r="B20" s="6">
        <v>18</v>
      </c>
      <c r="C20" s="2" t="s">
        <v>31</v>
      </c>
      <c r="D20" s="10">
        <v>20.21</v>
      </c>
    </row>
    <row r="21" spans="2:4" x14ac:dyDescent="0.45">
      <c r="B21" s="6">
        <v>19</v>
      </c>
      <c r="C21" s="2" t="s">
        <v>34</v>
      </c>
      <c r="D21" s="10">
        <v>50.4</v>
      </c>
    </row>
    <row r="22" spans="2:4" x14ac:dyDescent="0.45">
      <c r="B22" s="6">
        <v>20</v>
      </c>
      <c r="C22" s="2" t="s">
        <v>32</v>
      </c>
      <c r="D22" s="10">
        <v>6.16</v>
      </c>
    </row>
    <row r="23" spans="2:4" x14ac:dyDescent="0.45">
      <c r="B23" s="6">
        <v>21</v>
      </c>
      <c r="C23" s="2" t="s">
        <v>33</v>
      </c>
      <c r="D23" s="10">
        <v>10.95</v>
      </c>
    </row>
    <row r="24" spans="2:4" ht="28.5" x14ac:dyDescent="0.45">
      <c r="B24" s="6">
        <v>22</v>
      </c>
      <c r="C24" s="1" t="s">
        <v>17</v>
      </c>
      <c r="D24" s="11">
        <v>383.14</v>
      </c>
    </row>
    <row r="25" spans="2:4" ht="42.75" x14ac:dyDescent="0.45">
      <c r="B25" s="6">
        <v>23</v>
      </c>
      <c r="C25" s="1" t="s">
        <v>18</v>
      </c>
      <c r="D25" s="11"/>
    </row>
    <row r="26" spans="2:4" ht="42.75" x14ac:dyDescent="0.45">
      <c r="B26" s="6">
        <v>24</v>
      </c>
      <c r="C26" s="1" t="s">
        <v>19</v>
      </c>
      <c r="D26" s="11"/>
    </row>
    <row r="27" spans="2:4" ht="42.75" x14ac:dyDescent="0.45">
      <c r="B27" s="6">
        <v>25</v>
      </c>
      <c r="C27" s="1" t="s">
        <v>20</v>
      </c>
      <c r="D27" s="11"/>
    </row>
    <row r="28" spans="2:4" ht="42.75" x14ac:dyDescent="0.45">
      <c r="B28" s="6">
        <v>26</v>
      </c>
      <c r="C28" s="1" t="s">
        <v>21</v>
      </c>
      <c r="D28" s="11"/>
    </row>
    <row r="29" spans="2:4" ht="57" x14ac:dyDescent="0.45">
      <c r="B29" s="6">
        <v>27</v>
      </c>
      <c r="C29" s="1" t="s">
        <v>24</v>
      </c>
      <c r="D29" s="10">
        <v>18.55</v>
      </c>
    </row>
    <row r="30" spans="2:4" ht="71.25" x14ac:dyDescent="0.45">
      <c r="B30" s="6">
        <v>28</v>
      </c>
      <c r="C30" s="1" t="s">
        <v>22</v>
      </c>
      <c r="D30" s="10">
        <v>732.48</v>
      </c>
    </row>
    <row r="31" spans="2:4" x14ac:dyDescent="0.45">
      <c r="B31" s="6">
        <v>29</v>
      </c>
      <c r="C31" s="1" t="s">
        <v>23</v>
      </c>
      <c r="D31" s="10">
        <v>130.19999999999999</v>
      </c>
    </row>
    <row r="32" spans="2:4" ht="71.25" x14ac:dyDescent="0.45">
      <c r="B32" s="6">
        <v>30</v>
      </c>
      <c r="C32" s="1" t="s">
        <v>35</v>
      </c>
      <c r="D32" s="10">
        <v>42.11</v>
      </c>
    </row>
    <row r="33" spans="2:4" x14ac:dyDescent="0.45">
      <c r="B33" s="6">
        <v>31</v>
      </c>
      <c r="C33" s="1" t="s">
        <v>36</v>
      </c>
      <c r="D33" s="10">
        <v>5.8</v>
      </c>
    </row>
    <row r="34" spans="2:4" x14ac:dyDescent="0.45">
      <c r="B34" s="6">
        <v>32</v>
      </c>
      <c r="C34" s="1" t="s">
        <v>37</v>
      </c>
      <c r="D34" s="10">
        <v>12</v>
      </c>
    </row>
    <row r="35" spans="2:4" ht="14.25" customHeight="1" x14ac:dyDescent="0.45">
      <c r="B35" s="4" t="s">
        <v>1</v>
      </c>
      <c r="C35" s="7"/>
      <c r="D35" s="8">
        <f>SUM(D3:D34)</f>
        <v>2762.7400000000002</v>
      </c>
    </row>
    <row r="36" spans="2:4" x14ac:dyDescent="0.45">
      <c r="B36" s="4" t="s">
        <v>2</v>
      </c>
      <c r="C36" s="7"/>
      <c r="D36" s="8">
        <v>3200</v>
      </c>
    </row>
    <row r="37" spans="2:4" x14ac:dyDescent="0.45">
      <c r="B37" s="4" t="s">
        <v>3</v>
      </c>
      <c r="C37" s="7"/>
      <c r="D37" s="9">
        <f>D36-D35</f>
        <v>437.25999999999976</v>
      </c>
    </row>
  </sheetData>
  <mergeCells count="2">
    <mergeCell ref="D14:D19"/>
    <mergeCell ref="D24:D28"/>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5615753B5CCD43966271C4BDE5B13C" ma:contentTypeVersion="12" ma:contentTypeDescription="Create a new document." ma:contentTypeScope="" ma:versionID="07d938646584b3620a216412687bf4bb">
  <xsd:schema xmlns:xsd="http://www.w3.org/2001/XMLSchema" xmlns:xs="http://www.w3.org/2001/XMLSchema" xmlns:p="http://schemas.microsoft.com/office/2006/metadata/properties" xmlns:ns2="49548318-0a7b-4d65-bc43-907c956e523a" xmlns:ns3="c9422598-6492-471d-9d1f-9c77f43a94f7" targetNamespace="http://schemas.microsoft.com/office/2006/metadata/properties" ma:root="true" ma:fieldsID="f7b3de0ef6ad19dc03a2ca3c97ede2cd" ns2:_="" ns3:_="">
    <xsd:import namespace="49548318-0a7b-4d65-bc43-907c956e523a"/>
    <xsd:import namespace="c9422598-6492-471d-9d1f-9c77f43a9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48318-0a7b-4d65-bc43-907c956e5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422598-6492-471d-9d1f-9c77f43a94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daf673d-7196-4f99-b5ca-d94ad85403b2}" ma:internalName="TaxCatchAll" ma:showField="CatchAllData" ma:web="c9422598-6492-471d-9d1f-9c77f43a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9422598-6492-471d-9d1f-9c77f43a94f7" xsi:nil="true"/>
    <lcf76f155ced4ddcb4097134ff3c332f xmlns="49548318-0a7b-4d65-bc43-907c956e52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662415-1C60-405C-A31C-16F984C83CBE}">
  <ds:schemaRefs>
    <ds:schemaRef ds:uri="http://schemas.microsoft.com/sharepoint/v3/contenttype/forms"/>
  </ds:schemaRefs>
</ds:datastoreItem>
</file>

<file path=customXml/itemProps2.xml><?xml version="1.0" encoding="utf-8"?>
<ds:datastoreItem xmlns:ds="http://schemas.openxmlformats.org/officeDocument/2006/customXml" ds:itemID="{A8B5B770-FF29-4AEE-8921-3C2EA0DE5A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548318-0a7b-4d65-bc43-907c956e523a"/>
    <ds:schemaRef ds:uri="c9422598-6492-471d-9d1f-9c77f43a9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803E9F-713E-4340-9C0A-9BD818315257}">
  <ds:schemaRefs>
    <ds:schemaRef ds:uri="http://purl.org/dc/elements/1.1/"/>
    <ds:schemaRef ds:uri="http://purl.org/dc/dcmitype/"/>
    <ds:schemaRef ds:uri="http://www.w3.org/XML/1998/namespace"/>
    <ds:schemaRef ds:uri="http://schemas.microsoft.com/office/2006/documentManagement/types"/>
    <ds:schemaRef ds:uri="c9422598-6492-471d-9d1f-9c77f43a94f7"/>
    <ds:schemaRef ds:uri="http://schemas.microsoft.com/office/infopath/2007/PartnerControls"/>
    <ds:schemaRef ds:uri="http://purl.org/dc/terms/"/>
    <ds:schemaRef ds:uri="http://schemas.openxmlformats.org/package/2006/metadata/core-properties"/>
    <ds:schemaRef ds:uri="49548318-0a7b-4d65-bc43-907c956e523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Budget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Jeanette Sim</dc:creator>
  <cp:lastModifiedBy>Jeanette Sim</cp:lastModifiedBy>
  <dcterms:created xsi:type="dcterms:W3CDTF">2015-06-05T18:17:20Z</dcterms:created>
  <dcterms:modified xsi:type="dcterms:W3CDTF">2026-04-19T13:43:21Z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0x010100065615753B5CCD43966271C4BDE5B13C</vt:lpwstr>
  </property>
  <property fmtid="{D5CDD505-2E9C-101B-9397-08002B2CF9AE}" pid="3" name="MediaServiceImageTags">
    <vt:lpwstr/>
  </property>
</Properties>
</file>