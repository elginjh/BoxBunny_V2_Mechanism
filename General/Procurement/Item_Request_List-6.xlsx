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nusu.sharepoint.com/sites/CDE4301BoxBunny2/Shared Documents/General/Procurement/"/>
    </mc:Choice>
  </mc:AlternateContent>
  <xr:revisionPtr revIDLastSave="231" documentId="8_{04F2B5DA-3A34-4B00-835B-EC6B6C1C402C}" xr6:coauthVersionLast="47" xr6:coauthVersionMax="47" xr10:uidLastSave="{23E1D6C7-2842-40CE-A85C-F891D689450A}"/>
  <bookViews>
    <workbookView minimized="1" xWindow="3420" yWindow="1704" windowWidth="17280" windowHeight="10500" xr2:uid="{00000000-000D-0000-FFFF-FFFF00000000}"/>
  </bookViews>
  <sheets>
    <sheet name="Request For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5" i="1" l="1"/>
  <c r="G22" i="1"/>
  <c r="G21" i="1"/>
  <c r="G14" i="1"/>
  <c r="G25" i="1" s="1"/>
</calcChain>
</file>

<file path=xl/sharedStrings.xml><?xml version="1.0" encoding="utf-8"?>
<sst xmlns="http://schemas.openxmlformats.org/spreadsheetml/2006/main" count="86" uniqueCount="70">
  <si>
    <t>Project Code:</t>
  </si>
  <si>
    <t>IS-431</t>
  </si>
  <si>
    <t>Course Code:</t>
  </si>
  <si>
    <t>CDE4301</t>
  </si>
  <si>
    <t xml:space="preserve">Project Title: </t>
  </si>
  <si>
    <t>BoxBunny</t>
  </si>
  <si>
    <t>Main Project Supervisor:</t>
  </si>
  <si>
    <t>Graham Zhu Hongjiao</t>
  </si>
  <si>
    <t>Members</t>
  </si>
  <si>
    <t>S/N</t>
  </si>
  <si>
    <t>Name</t>
  </si>
  <si>
    <t>Host Department</t>
  </si>
  <si>
    <t>Matric No.</t>
  </si>
  <si>
    <t>Email</t>
  </si>
  <si>
    <t>Contact No.</t>
  </si>
  <si>
    <t>Remarks</t>
  </si>
  <si>
    <t>Muhammad Zakir Haziq Bin Mohd Padzal</t>
  </si>
  <si>
    <t>Engineering Science</t>
  </si>
  <si>
    <t>A0257956J</t>
  </si>
  <si>
    <t>e0968928@u.nus.edu</t>
  </si>
  <si>
    <t>Muthukumaran Yogeeswaran</t>
  </si>
  <si>
    <t>A0253028L</t>
  </si>
  <si>
    <t>yogeeswaran@u.nus.edu</t>
  </si>
  <si>
    <t>Ng Jun Hao Elgin</t>
  </si>
  <si>
    <t>A0265721E</t>
  </si>
  <si>
    <t>e1067157@u.nus.edu</t>
  </si>
  <si>
    <t>Sim Yu Jeanette</t>
  </si>
  <si>
    <t>A0254736X</t>
  </si>
  <si>
    <t>jeanette.sim@u.nus.edu</t>
  </si>
  <si>
    <t>Item Description &amp; Part/Model No.</t>
  </si>
  <si>
    <r>
      <t>Class of Item ( Normal / Chemical /</t>
    </r>
    <r>
      <rPr>
        <b/>
        <sz val="10"/>
        <color rgb="FFFF0000"/>
        <rFont val="Verdana"/>
        <family val="2"/>
      </rPr>
      <t xml:space="preserve"> Biological </t>
    </r>
    <r>
      <rPr>
        <b/>
        <sz val="10"/>
        <color theme="1"/>
        <rFont val="Verdana"/>
        <family val="2"/>
      </rPr>
      <t>/ Hazardous*)</t>
    </r>
  </si>
  <si>
    <t>Unit price</t>
  </si>
  <si>
    <t xml:space="preserve">Quantity </t>
  </si>
  <si>
    <t>Sub Total</t>
  </si>
  <si>
    <t>Distributor/Supplier/URL</t>
  </si>
  <si>
    <t>Normal</t>
  </si>
  <si>
    <t>Grand Total</t>
  </si>
  <si>
    <r>
      <t xml:space="preserve">* </t>
    </r>
    <r>
      <rPr>
        <b/>
        <sz val="10"/>
        <color rgb="FFFF0000"/>
        <rFont val="Verdana"/>
        <family val="2"/>
      </rPr>
      <t>Important Note:</t>
    </r>
  </si>
  <si>
    <r>
      <t xml:space="preserve">1. Please take note that the claim for reimbursement of any purchases must be submitted within 1 month. </t>
    </r>
    <r>
      <rPr>
        <b/>
        <sz val="10"/>
        <color rgb="FFFF0000"/>
        <rFont val="Verdana"/>
        <family val="2"/>
      </rPr>
      <t>No claim is allowed after 1 month of purchase.</t>
    </r>
  </si>
  <si>
    <r>
      <t xml:space="preserve">2. For Chemical / </t>
    </r>
    <r>
      <rPr>
        <b/>
        <sz val="10"/>
        <color rgb="FFFF0000"/>
        <rFont val="Verdana"/>
        <family val="2"/>
      </rPr>
      <t>Biological</t>
    </r>
    <r>
      <rPr>
        <b/>
        <sz val="10"/>
        <color theme="1"/>
        <rFont val="Verdana"/>
        <family val="2"/>
      </rPr>
      <t xml:space="preserve"> / Hazardous item(s) - Please indicate the</t>
    </r>
    <r>
      <rPr>
        <b/>
        <sz val="10"/>
        <color rgb="FFFF0000"/>
        <rFont val="Verdana"/>
        <family val="2"/>
      </rPr>
      <t xml:space="preserve"> safe handling </t>
    </r>
    <r>
      <rPr>
        <b/>
        <sz val="10"/>
        <color theme="1"/>
        <rFont val="Verdana"/>
        <family val="2"/>
      </rPr>
      <t>requirements</t>
    </r>
    <r>
      <rPr>
        <b/>
        <sz val="10"/>
        <rFont val="Verdana"/>
        <family val="2"/>
      </rPr>
      <t xml:space="preserve"> through a</t>
    </r>
    <r>
      <rPr>
        <b/>
        <sz val="10"/>
        <color rgb="FFFF0000"/>
        <rFont val="Verdana"/>
        <family val="2"/>
      </rPr>
      <t xml:space="preserve"> risk assessment,</t>
    </r>
    <r>
      <rPr>
        <b/>
        <sz val="10"/>
        <color theme="1"/>
        <rFont val="Verdana"/>
        <family val="2"/>
      </rPr>
      <t xml:space="preserve"> and provide the</t>
    </r>
    <r>
      <rPr>
        <b/>
        <sz val="10"/>
        <color rgb="FFFF0000"/>
        <rFont val="Verdana"/>
        <family val="2"/>
      </rPr>
      <t xml:space="preserve"> Safety Data Sheet (SDS)</t>
    </r>
    <r>
      <rPr>
        <b/>
        <sz val="10"/>
        <color theme="1"/>
        <rFont val="Verdana"/>
        <family val="2"/>
      </rPr>
      <t xml:space="preserve">. </t>
    </r>
  </si>
  <si>
    <r>
      <t xml:space="preserve">3. The </t>
    </r>
    <r>
      <rPr>
        <b/>
        <sz val="10"/>
        <color rgb="FFFF0000"/>
        <rFont val="Verdana"/>
        <family val="2"/>
      </rPr>
      <t>safe handling</t>
    </r>
    <r>
      <rPr>
        <b/>
        <sz val="10"/>
        <color theme="1"/>
        <rFont val="Verdana"/>
        <family val="2"/>
      </rPr>
      <t xml:space="preserve"> requirements include the usage, PPE, transfer/transportation, storage and disposal of the item(s).</t>
    </r>
  </si>
  <si>
    <r>
      <t xml:space="preserve">4. For Hazardous item - </t>
    </r>
    <r>
      <rPr>
        <b/>
        <sz val="10"/>
        <color rgb="FFFF0000"/>
        <rFont val="Verdana"/>
        <family val="2"/>
      </rPr>
      <t>Government</t>
    </r>
    <r>
      <rPr>
        <b/>
        <sz val="10"/>
        <color theme="1"/>
        <rFont val="Verdana"/>
        <family val="2"/>
      </rPr>
      <t xml:space="preserve"> license </t>
    </r>
    <r>
      <rPr>
        <b/>
        <sz val="10"/>
        <color rgb="FFFF0000"/>
        <rFont val="Verdana"/>
        <family val="2"/>
      </rPr>
      <t>(such as from NEA, SCDF, SPF or AVA)</t>
    </r>
    <r>
      <rPr>
        <b/>
        <sz val="10"/>
        <color theme="1"/>
        <rFont val="Verdana"/>
        <family val="2"/>
      </rPr>
      <t xml:space="preserve"> is required. Hence, there might be additional cost inv</t>
    </r>
    <r>
      <rPr>
        <b/>
        <sz val="10"/>
        <rFont val="Verdana"/>
        <family val="2"/>
      </rPr>
      <t>olved</t>
    </r>
    <r>
      <rPr>
        <b/>
        <sz val="10"/>
        <color theme="1"/>
        <rFont val="Verdana"/>
        <family val="2"/>
      </rPr>
      <t xml:space="preserve"> for the licensing fee.</t>
    </r>
  </si>
  <si>
    <t>5. The safety documents submitted will be reviewed by the Acting License Holder (ALH) or the Faculty Safety Manager.</t>
  </si>
  <si>
    <t>Replacement Wheels for Casters
[RMNA100]</t>
  </si>
  <si>
    <r>
      <rPr>
        <sz val="11"/>
        <rFont val="Calibri"/>
        <family val="2"/>
        <scheme val="minor"/>
      </rPr>
      <t>Misumi:</t>
    </r>
    <r>
      <rPr>
        <u/>
        <sz val="11"/>
        <color theme="10"/>
        <rFont val="Calibri"/>
        <family val="2"/>
        <scheme val="minor"/>
      </rPr>
      <t xml:space="preserve">
https://sg.misumi-ec.com/vona2/detail/110300500620/?ProductCode=RMNA100</t>
    </r>
  </si>
  <si>
    <r>
      <rPr>
        <b/>
        <sz val="11"/>
        <color theme="1"/>
        <rFont val="Calibri"/>
        <family val="2"/>
        <scheme val="minor"/>
      </rPr>
      <t>Small Pulley:</t>
    </r>
    <r>
      <rPr>
        <sz val="11"/>
        <color theme="1"/>
        <rFont val="Calibri"/>
        <family val="2"/>
        <scheme val="minor"/>
      </rPr>
      <t xml:space="preserve"> 45钢同步皮带轮8M20齿精加工两面平同步轮槽宽26/32/42无台带轮 45 steel synchronous belt pulley, 8M20 teeth, precision machined, double-sided flat, synchronous pulley groove width 26/32/42, no platform pulley.
[金色 8M宽32孔15带键槽 Gold 8M wide 32 holes 15 with keyway]</t>
    </r>
  </si>
  <si>
    <t>￥35.42</t>
  </si>
  <si>
    <r>
      <rPr>
        <sz val="11"/>
        <rFont val="Calibri"/>
        <family val="2"/>
        <scheme val="minor"/>
      </rPr>
      <t>Taobao:</t>
    </r>
    <r>
      <rPr>
        <u/>
        <sz val="11"/>
        <color theme="10"/>
        <rFont val="Calibri"/>
        <family val="2"/>
        <scheme val="minor"/>
      </rPr>
      <t xml:space="preserve">
https://item.taobao.com/item.htm?from=cart&amp;id=679314184275&amp;mi_id=0000DBhcF5NfEMrJYAVEXUEJK5FkLFG-d0A-av7XpOz6Emo&amp;skuId=5049636415667&amp;spm=a1z0d.6639537%2F202410.item.d679314184275.323627a48R9aui&amp;upStreamPrice=2967</t>
    </r>
  </si>
  <si>
    <r>
      <rPr>
        <sz val="11"/>
        <rFont val="Calibri"/>
        <family val="2"/>
        <scheme val="minor"/>
      </rPr>
      <t>Taobao:</t>
    </r>
    <r>
      <rPr>
        <u/>
        <sz val="11"/>
        <color theme="10"/>
        <rFont val="Calibri"/>
        <family val="2"/>
        <scheme val="minor"/>
      </rPr>
      <t xml:space="preserve">
https://item.taobao.com/item.htm?from=cart&amp;id=679258516887&amp;mi_id=00003iG6C8Ln1pYW5QfGzGAabCpALUFXDjWLzqhYuYdtYVk&amp;spm=a1z0d.6639537%2F202410.item.d679258516887.323627a48R9aui&amp;upStreamPrice=3542&amp;skuId=4876731941225</t>
    </r>
  </si>
  <si>
    <r>
      <rPr>
        <b/>
        <sz val="11"/>
        <color theme="1"/>
        <rFont val="Calibri"/>
        <family val="2"/>
        <scheme val="minor"/>
      </rPr>
      <t>Idler Pulley:</t>
    </r>
    <r>
      <rPr>
        <sz val="11"/>
        <color theme="1"/>
        <rFont val="Calibri"/>
        <family val="2"/>
        <scheme val="minor"/>
      </rPr>
      <t xml:space="preserve">
8M25齿 槽宽26/32/42带轴承同步轮 涨紧轮调节轮外径62.9 8M25 toothed pulley with a tooth width of 26/32/42, bearing-equipped synchronous pulley, tensioner pulley, and adjusting pulley; outer diameter 62.
[8M25（光面）齿宽32内孔10, 8M25 (smooth surface) tooth width 32, inner diameter 10]</t>
    </r>
  </si>
  <si>
    <r>
      <rPr>
        <b/>
        <sz val="11"/>
        <color theme="1"/>
        <rFont val="Calibri"/>
        <family val="2"/>
        <scheme val="minor"/>
      </rPr>
      <t>Timing Belt:</t>
    </r>
    <r>
      <rPr>
        <sz val="11"/>
        <color theme="1"/>
        <rFont val="Calibri"/>
        <family val="2"/>
        <scheme val="minor"/>
      </rPr>
      <t xml:space="preserve">
同步带皮带HTDS3M5M8MXLXH橡胶双面齿轮齿形传动带聚氨酯钢丝开口 Synchronous belt HTDS3M5M8MXLXH rubber double-sided gear toothed transmission belt polyurethane steel wire open
[同步轮配套定制 Synchronous pulley matching customization - 952mm]</t>
    </r>
  </si>
  <si>
    <r>
      <rPr>
        <sz val="11"/>
        <rFont val="Calibri"/>
        <family val="2"/>
        <scheme val="minor"/>
      </rPr>
      <t>Taobao:</t>
    </r>
    <r>
      <rPr>
        <u/>
        <sz val="11"/>
        <color theme="10"/>
        <rFont val="Calibri"/>
        <family val="2"/>
        <scheme val="minor"/>
      </rPr>
      <t xml:space="preserve">
https://item.taobao.com/item.htm?from=cart&amp;id=612362967048&amp;mi_id=0000XU8ze5hwWpvlyhueJWqdJ0qPVxRKIM2HaHfIUhAI3Lw&amp;spm=a1z0d.6639537%2F202410.item.d612362967048.323627a48R9aui&amp;upStreamPrice=1000</t>
    </r>
  </si>
  <si>
    <r>
      <rPr>
        <sz val="11"/>
        <rFont val="Calibri"/>
        <family val="2"/>
        <scheme val="minor"/>
      </rPr>
      <t>Taobao:</t>
    </r>
    <r>
      <rPr>
        <u/>
        <sz val="11"/>
        <color theme="10"/>
        <rFont val="Calibri"/>
        <family val="2"/>
        <scheme val="minor"/>
      </rPr>
      <t xml:space="preserve">
https://item.taobao.com/item.htm?from=cart&amp;id=680104087498&amp;mi_id=0000oYgM9GRUlkLLcwjjnsSRVWrE81UzVfUO9DAPRv7C-dQ&amp;skuId=4876111797812&amp;spm=a1z0d.6639537%2F202410.item.d680104087498.323627a48R9aui&amp;upStreamPrice=17250</t>
    </r>
  </si>
  <si>
    <r>
      <rPr>
        <b/>
        <sz val="11"/>
        <color theme="1"/>
        <rFont val="Calibri"/>
        <family val="2"/>
        <scheme val="minor"/>
      </rPr>
      <t>Large Pulley:</t>
    </r>
    <r>
      <rPr>
        <sz val="11"/>
        <color theme="1"/>
        <rFont val="Calibri"/>
        <family val="2"/>
        <scheme val="minor"/>
      </rPr>
      <t xml:space="preserve">
8M70齿同步轮同步带轮皮带轮 标准件铝合金齿外径176.89 3D打印机 8M70 toothed synchronous pulley/pulley, standard aluminum alloy tooth outer diameter 176.89 mm, for 3D printers.
[8M70齿 齿宽32 工艺孔≈16, 8M70 tooth width 32, process hole ≈16]</t>
    </r>
  </si>
  <si>
    <t>￥172.50</t>
  </si>
  <si>
    <t>￥25.73</t>
  </si>
  <si>
    <r>
      <rPr>
        <b/>
        <sz val="11"/>
        <color theme="1"/>
        <rFont val="Calibri"/>
        <family val="2"/>
        <scheme val="minor"/>
      </rPr>
      <t>3D Printing Filament:</t>
    </r>
    <r>
      <rPr>
        <sz val="11"/>
        <color theme="1"/>
        <rFont val="Calibri"/>
        <family val="2"/>
        <scheme val="minor"/>
      </rPr>
      <t xml:space="preserve">
爆款】R3D PETG 3D打印耗材肤色透明1.75mm高韧性打印笔材料拓竹打印机器通用大理石耐高温结构模型  [Hot Item] R3D PETG 3D Printing Material, Skin-tone Transparent, 1.75mm High-Toughness Printing Pen Mater
[PETG 黑色 1kg【经济款】 PETG Black 1kg [Economy Size]]</t>
    </r>
  </si>
  <si>
    <r>
      <rPr>
        <sz val="11"/>
        <rFont val="Calibri"/>
        <family val="2"/>
        <scheme val="minor"/>
      </rPr>
      <t>Taobao:</t>
    </r>
    <r>
      <rPr>
        <u/>
        <sz val="11"/>
        <color theme="10"/>
        <rFont val="Calibri"/>
        <family val="2"/>
        <scheme val="minor"/>
      </rPr>
      <t xml:space="preserve">
https://detail.tmall.com/item.htm?from=cart&amp;id=750164175683&amp;mi_id=0000K9-Zbgz5rdNjJn6wM-hRMLhVEcovLwP3POW4k10v1oM&amp;spm=a1z0d.6639537%2F202410.item.d750164175683.323674840X98nY&amp;upStreamPrice=2490&amp;skuId=5340822562426</t>
    </r>
  </si>
  <si>
    <t>￥35.00</t>
  </si>
  <si>
    <t>Art Friend</t>
  </si>
  <si>
    <t>Nail Gun Refill -- Max Refill 1208-FA</t>
  </si>
  <si>
    <t>Wooden Plate - PINE Val Plaque 5x7 Oval Plaid</t>
  </si>
  <si>
    <t>Spotlight</t>
  </si>
  <si>
    <t>ZEPHYR VINYL, BROWN, 137CM</t>
  </si>
  <si>
    <t>￥31.60</t>
  </si>
  <si>
    <r>
      <rPr>
        <sz val="11"/>
        <rFont val="Calibri"/>
        <family val="2"/>
        <scheme val="minor"/>
      </rPr>
      <t>Taobao:</t>
    </r>
    <r>
      <rPr>
        <u/>
        <sz val="11"/>
        <color theme="10"/>
        <rFont val="Calibri"/>
        <family val="2"/>
        <scheme val="minor"/>
      </rPr>
      <t xml:space="preserve">
https://detail.tmall.com/item.htm?from=cart&amp;id=831478073528&amp;mi_id=0000MTQYvIrhNNhSJ1qKsLW4MqIT2HqGfxyAlbbqVC8M1oM&amp;spm=a1z0d.6639537%2F202410.item.d831478073528.32367484YRwIta&amp;upStreamPrice=3160</t>
    </r>
  </si>
  <si>
    <t>304 stainless steel spring with low pressure, custom shock absorption, high pressure return steel wire compression tension spring
[Free length: 140mm
Outer diameter (OD):35mm
Wire diameter:4 mm
Spring rate:10 N/mm
Material:Music wire (ASTM A228)
Type: Compression, closed and ground ends]</t>
  </si>
  <si>
    <t>￥8</t>
  </si>
  <si>
    <r>
      <rPr>
        <sz val="11"/>
        <rFont val="Calibri"/>
        <family val="2"/>
        <scheme val="minor"/>
      </rPr>
      <t>Taobao:</t>
    </r>
    <r>
      <rPr>
        <u/>
        <sz val="11"/>
        <color theme="10"/>
        <rFont val="Calibri"/>
        <family val="2"/>
        <scheme val="minor"/>
      </rPr>
      <t xml:space="preserve">
https://detail.tmall.com/item.htm?from=cart&amp;id=601646165812&amp;mi_id=0000W3bUCAJXQkbZ_2sBVyUvoAby76uRyo5SZ5SEzBg82rc&amp;skuId=4913884128283&amp;spm=a1z0d.6639537%2F202410.item.d601646165812.32367484jG9Cty&amp;upStreamPrice=800</t>
    </r>
  </si>
  <si>
    <r>
      <rPr>
        <b/>
        <sz val="11"/>
        <color theme="1"/>
        <rFont val="Calibri"/>
        <family val="2"/>
        <scheme val="minor"/>
      </rPr>
      <t xml:space="preserve">Anti-slip self-adhesive tape: </t>
    </r>
    <r>
      <rPr>
        <sz val="11"/>
        <color theme="1"/>
        <rFont val="Calibri"/>
        <family val="2"/>
        <scheme val="minor"/>
      </rPr>
      <t>米乐奇防滑网格纹硅橡胶皮单面自粘耐磨密封硅胶条背胶网格纹橡胶垫
[10.0 cm wide * 2 m long [Black]]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</si>
</sst>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_(&quot;$&quot;* #,##0.00_);_(&quot;$&quot;* \(#,##0.00\);_(&quot;$&quot;* &quot;-&quot;??_);_(@_)"/>
  </numFmts>
  <fonts count="12" x14ac:knownFonts="1">
    <font>
      <sz val="11"/>
      <color theme="1"/>
      <name val="Calibri"/>
      <family val="2"/>
      <scheme val="minor"/>
    </font>
    <font>
      <b/>
      <sz val="10"/>
      <color theme="1"/>
      <name val="Verdana"/>
      <family val="2"/>
    </font>
    <font>
      <sz val="10"/>
      <color theme="1"/>
      <name val="Verdana"/>
      <family val="2"/>
    </font>
    <font>
      <b/>
      <sz val="10"/>
      <color rgb="FFFF0000"/>
      <name val="Verdana"/>
      <family val="2"/>
    </font>
    <font>
      <b/>
      <sz val="10"/>
      <name val="Verdana"/>
      <family val="2"/>
    </font>
    <font>
      <sz val="10"/>
      <name val="Verdana"/>
      <family val="2"/>
    </font>
    <font>
      <u/>
      <sz val="11"/>
      <color theme="10"/>
      <name val="Calibri"/>
      <family val="2"/>
      <scheme val="minor"/>
    </font>
    <font>
      <sz val="11"/>
      <name val="Calibri"/>
      <family val="2"/>
      <scheme val="minor"/>
    </font>
    <font>
      <sz val="8"/>
      <name val="Calibri"/>
      <family val="2"/>
      <scheme val="minor"/>
    </font>
    <font>
      <b/>
      <sz val="11"/>
      <color theme="1"/>
      <name val="Calibri"/>
      <family val="2"/>
      <scheme val="minor"/>
    </font>
    <font>
      <sz val="10"/>
      <color theme="1"/>
      <name val="Times New Roman"/>
      <family val="1"/>
    </font>
    <font>
      <b/>
      <i/>
      <sz val="8"/>
      <color rgb="FFEE0000"/>
      <name val="Verdana"/>
      <family val="2"/>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45">
    <xf numFmtId="0" fontId="0" fillId="0" borderId="0" xfId="0"/>
    <xf numFmtId="0" fontId="1" fillId="0" borderId="2" xfId="0" applyFont="1" applyBorder="1"/>
    <xf numFmtId="0" fontId="1" fillId="0" borderId="0" xfId="0" applyFont="1"/>
    <xf numFmtId="0" fontId="2" fillId="0" borderId="0" xfId="0" applyFont="1"/>
    <xf numFmtId="0" fontId="2" fillId="0" borderId="0" xfId="0" applyFont="1" applyAlignment="1">
      <alignment horizontal="left"/>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left" vertical="center"/>
    </xf>
    <xf numFmtId="0" fontId="2" fillId="0" borderId="0" xfId="0" applyFont="1" applyAlignment="1">
      <alignment vertical="center"/>
    </xf>
    <xf numFmtId="0" fontId="2" fillId="0" borderId="1" xfId="0" applyFont="1" applyBorder="1" applyAlignment="1">
      <alignment horizontal="center" vertical="center"/>
    </xf>
    <xf numFmtId="164" fontId="5" fillId="0" borderId="1" xfId="0" applyNumberFormat="1" applyFont="1" applyBorder="1" applyAlignment="1">
      <alignment horizontal="left" vertical="center"/>
    </xf>
    <xf numFmtId="0" fontId="1" fillId="0" borderId="5" xfId="0" applyFont="1" applyBorder="1"/>
    <xf numFmtId="0" fontId="2" fillId="0" borderId="3" xfId="0" applyFont="1" applyBorder="1"/>
    <xf numFmtId="0" fontId="2" fillId="0" borderId="5" xfId="0" applyFont="1" applyBorder="1"/>
    <xf numFmtId="0" fontId="2" fillId="0" borderId="4" xfId="0" applyFont="1" applyBorder="1"/>
    <xf numFmtId="164" fontId="5" fillId="0" borderId="1" xfId="0" applyNumberFormat="1" applyFont="1" applyBorder="1" applyAlignment="1">
      <alignment horizontal="left" vertical="center" wrapText="1"/>
    </xf>
    <xf numFmtId="164" fontId="5" fillId="0" borderId="1" xfId="0" applyNumberFormat="1" applyFont="1" applyBorder="1" applyAlignment="1">
      <alignment horizontal="right" vertical="center" wrapText="1"/>
    </xf>
    <xf numFmtId="0" fontId="10" fillId="0" borderId="0" xfId="0" applyFont="1" applyAlignment="1">
      <alignmen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1" xfId="0" applyFont="1" applyBorder="1" applyAlignment="1">
      <alignment horizontal="center" vertical="center"/>
    </xf>
    <xf numFmtId="0" fontId="6" fillId="0" borderId="1" xfId="1" applyBorder="1" applyAlignment="1">
      <alignment horizontal="left" vertical="center" wrapText="1"/>
    </xf>
    <xf numFmtId="0" fontId="6" fillId="0" borderId="3" xfId="1" applyBorder="1" applyAlignment="1">
      <alignment horizontal="center" vertical="center"/>
    </xf>
    <xf numFmtId="0" fontId="1" fillId="0" borderId="0" xfId="0" applyFont="1" applyAlignment="1">
      <alignment horizontal="left" vertical="center"/>
    </xf>
    <xf numFmtId="0" fontId="0" fillId="0" borderId="3" xfId="0" applyBorder="1" applyAlignment="1">
      <alignment vertical="center" wrapText="1"/>
    </xf>
    <xf numFmtId="0" fontId="0" fillId="0" borderId="4" xfId="0" applyBorder="1" applyAlignment="1">
      <alignment vertical="center" wrapText="1"/>
    </xf>
    <xf numFmtId="0" fontId="6" fillId="0" borderId="3" xfId="1" applyBorder="1" applyAlignment="1">
      <alignment horizontal="left" vertical="center" wrapText="1"/>
    </xf>
    <xf numFmtId="0" fontId="6" fillId="0" borderId="5" xfId="1" applyBorder="1" applyAlignment="1">
      <alignment horizontal="left" vertical="center" wrapText="1"/>
    </xf>
    <xf numFmtId="0" fontId="6" fillId="0" borderId="4" xfId="1"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7" fillId="0" borderId="3" xfId="1" applyFont="1" applyBorder="1" applyAlignment="1">
      <alignment horizontal="left" vertical="center" wrapText="1"/>
    </xf>
    <xf numFmtId="8" fontId="11" fillId="0" borderId="8" xfId="0" applyNumberFormat="1" applyFont="1" applyBorder="1" applyAlignment="1">
      <alignment horizontal="right" vertical="center" wrapText="1"/>
    </xf>
    <xf numFmtId="8" fontId="11" fillId="0" borderId="6" xfId="0" applyNumberFormat="1" applyFont="1" applyBorder="1" applyAlignment="1">
      <alignment horizontal="center" vertical="center" wrapText="1"/>
    </xf>
    <xf numFmtId="8" fontId="11" fillId="0" borderId="7" xfId="0" applyNumberFormat="1" applyFont="1" applyBorder="1" applyAlignment="1">
      <alignment horizontal="center" vertical="center" wrapText="1"/>
    </xf>
    <xf numFmtId="8" fontId="11" fillId="0" borderId="8" xfId="0" applyNumberFormat="1" applyFont="1" applyBorder="1" applyAlignment="1">
      <alignment horizontal="center" vertical="center" wrapText="1"/>
    </xf>
    <xf numFmtId="8"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tem.taobao.com/item.htm?from=cart&amp;id=679258516887&amp;mi_id=00003iG6C8Ln1pYW5QfGzGAabCpALUFXDjWLzqhYuYdtYVk&amp;spm=a1z0d.6639537%2F202410.item.d679258516887.323627a48R9aui&amp;upStreamPrice=3542&amp;skuId=4876731941225" TargetMode="External"/><Relationship Id="rId13" Type="http://schemas.openxmlformats.org/officeDocument/2006/relationships/printerSettings" Target="../printerSettings/printerSettings1.bin"/><Relationship Id="rId3" Type="http://schemas.openxmlformats.org/officeDocument/2006/relationships/hyperlink" Target="mailto:jeanette.sim@u.nus.edu" TargetMode="External"/><Relationship Id="rId7" Type="http://schemas.openxmlformats.org/officeDocument/2006/relationships/hyperlink" Target="https://item.taobao.com/item.htm?from=cart&amp;id=680104087498&amp;mi_id=0000oYgM9GRUlkLLcwjjnsSRVWrE81UzVfUO9DAPRv7C-dQ&amp;skuId=4876111797812&amp;spm=a1z0d.6639537%2F202410.item.d680104087498.323627a48R9aui&amp;upStreamPrice=17250" TargetMode="External"/><Relationship Id="rId12" Type="http://schemas.openxmlformats.org/officeDocument/2006/relationships/hyperlink" Target="https://detail.tmall.com/item.htm?from=cart&amp;id=601646165812&amp;mi_id=0000W3bUCAJXQkbZ_2sBVyUvoAby76uRyo5SZ5SEzBg82rc&amp;skuId=4913884128283&amp;spm=a1z0d.6639537%2F202410.item.d601646165812.32367484jG9Cty&amp;upStreamPrice=800" TargetMode="External"/><Relationship Id="rId2" Type="http://schemas.openxmlformats.org/officeDocument/2006/relationships/hyperlink" Target="mailto:yogeeswaran@u.nus.edu" TargetMode="External"/><Relationship Id="rId1" Type="http://schemas.openxmlformats.org/officeDocument/2006/relationships/hyperlink" Target="mailto:e1067157@u.nus.edu" TargetMode="External"/><Relationship Id="rId6" Type="http://schemas.openxmlformats.org/officeDocument/2006/relationships/hyperlink" Target="https://item.taobao.com/item.htm?from=cart&amp;id=679314184275&amp;mi_id=0000DBhcF5NfEMrJYAVEXUEJK5FkLFG-d0A-av7XpOz6Emo&amp;skuId=5049636415667&amp;spm=a1z0d.6639537%2F202410.item.d679314184275.323627a48R9aui&amp;upStreamPrice=2967" TargetMode="External"/><Relationship Id="rId11" Type="http://schemas.openxmlformats.org/officeDocument/2006/relationships/hyperlink" Target="https://detail.tmall.com/item.htm?from=cart&amp;id=831478073528&amp;mi_id=0000MTQYvIrhNNhSJ1qKsLW4MqIT2HqGfxyAlbbqVC8M1oM&amp;spm=a1z0d.6639537%2F202410.item.d831478073528.32367484YRwIta&amp;upStreamPrice=3160" TargetMode="External"/><Relationship Id="rId5" Type="http://schemas.openxmlformats.org/officeDocument/2006/relationships/hyperlink" Target="https://sg.misumi-ec.com/vona2/detail/110300500620/?ProductCode=RMNA100" TargetMode="External"/><Relationship Id="rId10" Type="http://schemas.openxmlformats.org/officeDocument/2006/relationships/hyperlink" Target="https://detail.tmall.com/item.htm?from=cart&amp;id=750164175683&amp;mi_id=0000K9-Zbgz5rdNjJn6wM-hRMLhVEcovLwP3POW4k10v1oM&amp;spm=a1z0d.6639537%2F202410.item.d750164175683.323674840X98nY&amp;upStreamPrice=2490&amp;skuId=5340822562426" TargetMode="External"/><Relationship Id="rId4" Type="http://schemas.openxmlformats.org/officeDocument/2006/relationships/hyperlink" Target="mailto:e0968928@u.nus.edu" TargetMode="External"/><Relationship Id="rId9" Type="http://schemas.openxmlformats.org/officeDocument/2006/relationships/hyperlink" Target="https://item.taobao.com/item.htm?from=cart&amp;id=612362967048&amp;mi_id=0000XU8ze5hwWpvlyhueJWqdJ0qPVxRKIM2HaHfIUhAI3Lw&amp;spm=a1z0d.6639537%2F202410.item.d612362967048.323627a48R9aui&amp;upStreamPrice=1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1"/>
  <sheetViews>
    <sheetView showGridLines="0" tabSelected="1" topLeftCell="D20" zoomScale="57" zoomScaleNormal="55" workbookViewId="0">
      <selection activeCell="O26" sqref="O26"/>
    </sheetView>
  </sheetViews>
  <sheetFormatPr defaultColWidth="9.109375" defaultRowHeight="12.6" x14ac:dyDescent="0.2"/>
  <cols>
    <col min="1" max="1" width="5.77734375" style="4" customWidth="1"/>
    <col min="2" max="2" width="10.77734375" style="4" customWidth="1"/>
    <col min="3" max="3" width="66" style="3" customWidth="1"/>
    <col min="4" max="4" width="35.77734375" style="3" customWidth="1"/>
    <col min="5" max="8" width="20.77734375" style="3" customWidth="1"/>
    <col min="9" max="9" width="12.77734375" style="3" customWidth="1"/>
    <col min="10" max="10" width="25.77734375" style="3" customWidth="1"/>
    <col min="11" max="16384" width="9.109375" style="3"/>
  </cols>
  <sheetData>
    <row r="1" spans="1:16" s="2" customFormat="1" ht="20.25" customHeight="1" x14ac:dyDescent="0.2">
      <c r="A1" s="31" t="s">
        <v>0</v>
      </c>
      <c r="B1" s="31"/>
      <c r="C1" s="1" t="s">
        <v>1</v>
      </c>
      <c r="D1" s="1"/>
    </row>
    <row r="2" spans="1:16" s="2" customFormat="1" ht="20.25" customHeight="1" x14ac:dyDescent="0.2">
      <c r="A2" s="19" t="s">
        <v>2</v>
      </c>
      <c r="B2" s="19"/>
      <c r="C2" s="1" t="s">
        <v>3</v>
      </c>
      <c r="D2" s="12"/>
    </row>
    <row r="3" spans="1:16" s="2" customFormat="1" ht="24" customHeight="1" x14ac:dyDescent="0.2">
      <c r="A3" s="31" t="s">
        <v>4</v>
      </c>
      <c r="B3" s="31"/>
      <c r="C3" s="1" t="s">
        <v>5</v>
      </c>
      <c r="D3" s="12"/>
    </row>
    <row r="4" spans="1:16" s="2" customFormat="1" ht="26.25" customHeight="1" x14ac:dyDescent="0.2">
      <c r="A4" s="19" t="s">
        <v>6</v>
      </c>
      <c r="B4" s="19"/>
      <c r="C4" s="1" t="s">
        <v>7</v>
      </c>
      <c r="D4" s="12"/>
    </row>
    <row r="5" spans="1:16" s="2" customFormat="1" ht="20.25" customHeight="1" x14ac:dyDescent="0.2">
      <c r="A5" s="8"/>
      <c r="B5" s="8"/>
    </row>
    <row r="6" spans="1:16" ht="20.25" customHeight="1" x14ac:dyDescent="0.2">
      <c r="A6" s="31" t="s">
        <v>8</v>
      </c>
      <c r="B6" s="31"/>
    </row>
    <row r="7" spans="1:16" ht="20.25" customHeight="1" x14ac:dyDescent="0.2">
      <c r="A7" s="6" t="s">
        <v>9</v>
      </c>
      <c r="B7" s="22" t="s">
        <v>10</v>
      </c>
      <c r="C7" s="23"/>
      <c r="D7" s="6" t="s">
        <v>11</v>
      </c>
      <c r="E7" s="6" t="s">
        <v>12</v>
      </c>
      <c r="F7" s="22" t="s">
        <v>13</v>
      </c>
      <c r="G7" s="23"/>
      <c r="H7" s="6" t="s">
        <v>14</v>
      </c>
      <c r="I7" s="22" t="s">
        <v>15</v>
      </c>
      <c r="J7" s="23"/>
    </row>
    <row r="8" spans="1:16" ht="37.049999999999997" customHeight="1" x14ac:dyDescent="0.2">
      <c r="A8" s="10">
        <v>1</v>
      </c>
      <c r="B8" s="24" t="s">
        <v>16</v>
      </c>
      <c r="C8" s="25"/>
      <c r="D8" s="10" t="s">
        <v>17</v>
      </c>
      <c r="E8" s="10" t="s">
        <v>18</v>
      </c>
      <c r="F8" s="30" t="s">
        <v>19</v>
      </c>
      <c r="G8" s="23"/>
      <c r="H8" s="10">
        <v>96607351</v>
      </c>
      <c r="I8" s="26"/>
      <c r="J8" s="27"/>
    </row>
    <row r="9" spans="1:16" ht="20.25" customHeight="1" x14ac:dyDescent="0.2">
      <c r="A9" s="10">
        <v>2</v>
      </c>
      <c r="B9" s="26" t="s">
        <v>20</v>
      </c>
      <c r="C9" s="27"/>
      <c r="D9" s="10" t="s">
        <v>17</v>
      </c>
      <c r="E9" s="10" t="s">
        <v>21</v>
      </c>
      <c r="F9" s="30" t="s">
        <v>22</v>
      </c>
      <c r="G9" s="23"/>
      <c r="H9" s="10">
        <v>91774466</v>
      </c>
      <c r="I9" s="26"/>
      <c r="J9" s="27"/>
    </row>
    <row r="10" spans="1:16" ht="20.25" customHeight="1" x14ac:dyDescent="0.2">
      <c r="A10" s="10">
        <v>3</v>
      </c>
      <c r="B10" s="26" t="s">
        <v>23</v>
      </c>
      <c r="C10" s="27"/>
      <c r="D10" s="10" t="s">
        <v>17</v>
      </c>
      <c r="E10" s="10" t="s">
        <v>24</v>
      </c>
      <c r="F10" s="30" t="s">
        <v>25</v>
      </c>
      <c r="G10" s="23"/>
      <c r="H10" s="10">
        <v>98199303</v>
      </c>
      <c r="I10" s="26"/>
      <c r="J10" s="27"/>
    </row>
    <row r="11" spans="1:16" ht="20.25" customHeight="1" x14ac:dyDescent="0.2">
      <c r="A11" s="10">
        <v>4</v>
      </c>
      <c r="B11" s="26" t="s">
        <v>26</v>
      </c>
      <c r="C11" s="27"/>
      <c r="D11" s="10" t="s">
        <v>17</v>
      </c>
      <c r="E11" s="10" t="s">
        <v>27</v>
      </c>
      <c r="F11" s="30" t="s">
        <v>28</v>
      </c>
      <c r="G11" s="23"/>
      <c r="H11" s="10">
        <v>80900677</v>
      </c>
      <c r="I11" s="26"/>
      <c r="J11" s="27"/>
    </row>
    <row r="12" spans="1:16" ht="20.25" customHeight="1" x14ac:dyDescent="0.2"/>
    <row r="13" spans="1:16" ht="44.25" customHeight="1" x14ac:dyDescent="0.2">
      <c r="A13" s="6" t="s">
        <v>9</v>
      </c>
      <c r="B13" s="37" t="s">
        <v>29</v>
      </c>
      <c r="C13" s="37"/>
      <c r="D13" s="7" t="s">
        <v>30</v>
      </c>
      <c r="E13" s="6" t="s">
        <v>31</v>
      </c>
      <c r="F13" s="6" t="s">
        <v>32</v>
      </c>
      <c r="G13" s="6" t="s">
        <v>33</v>
      </c>
      <c r="H13" s="28" t="s">
        <v>34</v>
      </c>
      <c r="I13" s="28"/>
      <c r="J13" s="28"/>
    </row>
    <row r="14" spans="1:16" s="9" customFormat="1" ht="54" customHeight="1" thickBot="1" x14ac:dyDescent="0.35">
      <c r="A14" s="10">
        <v>1</v>
      </c>
      <c r="B14" s="38" t="s">
        <v>43</v>
      </c>
      <c r="C14" s="38"/>
      <c r="D14" s="10" t="s">
        <v>35</v>
      </c>
      <c r="E14" s="16">
        <v>7.58</v>
      </c>
      <c r="F14" s="10">
        <v>2</v>
      </c>
      <c r="G14" s="11">
        <f>E14*F14</f>
        <v>15.16</v>
      </c>
      <c r="H14" s="29" t="s">
        <v>44</v>
      </c>
      <c r="I14" s="29"/>
      <c r="J14" s="29"/>
    </row>
    <row r="15" spans="1:16" s="9" customFormat="1" ht="93.6" customHeight="1" x14ac:dyDescent="0.3">
      <c r="A15" s="10">
        <v>2</v>
      </c>
      <c r="B15" s="38" t="s">
        <v>45</v>
      </c>
      <c r="C15" s="38"/>
      <c r="D15" s="10" t="s">
        <v>35</v>
      </c>
      <c r="E15" s="17" t="s">
        <v>46</v>
      </c>
      <c r="F15" s="10">
        <v>1</v>
      </c>
      <c r="G15" s="11">
        <v>9.0500000000000007</v>
      </c>
      <c r="H15" s="29" t="s">
        <v>47</v>
      </c>
      <c r="I15" s="29"/>
      <c r="J15" s="29"/>
      <c r="O15" s="41">
        <v>61.63</v>
      </c>
      <c r="P15" s="18"/>
    </row>
    <row r="16" spans="1:16" s="9" customFormat="1" ht="84" customHeight="1" x14ac:dyDescent="0.3">
      <c r="A16" s="10">
        <v>3</v>
      </c>
      <c r="B16" s="38" t="s">
        <v>53</v>
      </c>
      <c r="C16" s="38"/>
      <c r="D16" s="10" t="s">
        <v>35</v>
      </c>
      <c r="E16" s="17" t="s">
        <v>54</v>
      </c>
      <c r="F16" s="10">
        <v>1</v>
      </c>
      <c r="G16" s="11">
        <v>37.64</v>
      </c>
      <c r="H16" s="29" t="s">
        <v>52</v>
      </c>
      <c r="I16" s="29"/>
      <c r="J16" s="29"/>
      <c r="O16" s="42"/>
      <c r="P16" s="18"/>
    </row>
    <row r="17" spans="1:16" s="9" customFormat="1" ht="100.8" customHeight="1" x14ac:dyDescent="0.3">
      <c r="A17" s="10">
        <v>4</v>
      </c>
      <c r="B17" s="38" t="s">
        <v>49</v>
      </c>
      <c r="C17" s="38"/>
      <c r="D17" s="10" t="s">
        <v>35</v>
      </c>
      <c r="E17" s="17" t="s">
        <v>46</v>
      </c>
      <c r="F17" s="10">
        <v>1</v>
      </c>
      <c r="G17" s="11">
        <v>9.0500000000000007</v>
      </c>
      <c r="H17" s="29" t="s">
        <v>48</v>
      </c>
      <c r="I17" s="29"/>
      <c r="J17" s="29"/>
      <c r="O17" s="42"/>
      <c r="P17" s="18"/>
    </row>
    <row r="18" spans="1:16" s="9" customFormat="1" ht="87.6" customHeight="1" thickBot="1" x14ac:dyDescent="0.35">
      <c r="A18" s="10">
        <v>5</v>
      </c>
      <c r="B18" s="32" t="s">
        <v>50</v>
      </c>
      <c r="C18" s="33"/>
      <c r="D18" s="10" t="s">
        <v>35</v>
      </c>
      <c r="E18" s="17" t="s">
        <v>58</v>
      </c>
      <c r="F18" s="10">
        <v>1</v>
      </c>
      <c r="G18" s="11">
        <v>7.22</v>
      </c>
      <c r="H18" s="34" t="s">
        <v>51</v>
      </c>
      <c r="I18" s="35"/>
      <c r="J18" s="36"/>
      <c r="O18" s="43"/>
      <c r="P18" s="18"/>
    </row>
    <row r="19" spans="1:16" s="9" customFormat="1" ht="108" customHeight="1" thickBot="1" x14ac:dyDescent="0.35">
      <c r="A19" s="10">
        <v>6</v>
      </c>
      <c r="B19" s="32" t="s">
        <v>56</v>
      </c>
      <c r="C19" s="33"/>
      <c r="D19" s="10" t="s">
        <v>35</v>
      </c>
      <c r="E19" s="17" t="s">
        <v>55</v>
      </c>
      <c r="F19" s="10">
        <v>6</v>
      </c>
      <c r="G19" s="11">
        <v>33.47</v>
      </c>
      <c r="H19" s="34" t="s">
        <v>57</v>
      </c>
      <c r="I19" s="35"/>
      <c r="J19" s="36"/>
      <c r="O19" s="40">
        <v>6.7</v>
      </c>
      <c r="P19" s="18"/>
    </row>
    <row r="20" spans="1:16" s="9" customFormat="1" ht="26.4" customHeight="1" thickBot="1" x14ac:dyDescent="0.35">
      <c r="A20" s="10">
        <v>7</v>
      </c>
      <c r="B20" s="32" t="s">
        <v>60</v>
      </c>
      <c r="C20" s="33"/>
      <c r="D20" s="10" t="s">
        <v>35</v>
      </c>
      <c r="E20" s="17">
        <v>6.16</v>
      </c>
      <c r="F20" s="10">
        <v>1</v>
      </c>
      <c r="G20" s="11">
        <v>6.16</v>
      </c>
      <c r="H20" s="39" t="s">
        <v>59</v>
      </c>
      <c r="I20" s="35"/>
      <c r="J20" s="36"/>
      <c r="O20" s="40">
        <v>39.49</v>
      </c>
      <c r="P20" s="18"/>
    </row>
    <row r="21" spans="1:16" s="9" customFormat="1" ht="41.4" customHeight="1" thickBot="1" x14ac:dyDescent="0.35">
      <c r="A21" s="10">
        <v>8</v>
      </c>
      <c r="B21" s="32" t="s">
        <v>61</v>
      </c>
      <c r="C21" s="33"/>
      <c r="D21" s="10" t="s">
        <v>35</v>
      </c>
      <c r="E21" s="16">
        <v>3.65</v>
      </c>
      <c r="F21" s="10">
        <v>3</v>
      </c>
      <c r="G21" s="11">
        <f>E21*F21</f>
        <v>10.95</v>
      </c>
      <c r="H21" s="39" t="s">
        <v>59</v>
      </c>
      <c r="I21" s="35"/>
      <c r="J21" s="36"/>
      <c r="O21" s="40">
        <v>20.21</v>
      </c>
      <c r="P21" s="18"/>
    </row>
    <row r="22" spans="1:16" s="9" customFormat="1" ht="51" customHeight="1" thickBot="1" x14ac:dyDescent="0.35">
      <c r="A22" s="10">
        <v>9</v>
      </c>
      <c r="B22" s="32" t="s">
        <v>63</v>
      </c>
      <c r="C22" s="33"/>
      <c r="D22" s="10" t="s">
        <v>35</v>
      </c>
      <c r="E22" s="16">
        <v>50.4</v>
      </c>
      <c r="F22" s="10">
        <v>1</v>
      </c>
      <c r="G22" s="11">
        <f>E22*F22</f>
        <v>50.4</v>
      </c>
      <c r="H22" s="39" t="s">
        <v>62</v>
      </c>
      <c r="I22" s="35"/>
      <c r="J22" s="36"/>
      <c r="O22" s="40">
        <v>6.16</v>
      </c>
      <c r="P22" s="18"/>
    </row>
    <row r="23" spans="1:16" s="9" customFormat="1" ht="78.599999999999994" customHeight="1" thickBot="1" x14ac:dyDescent="0.35">
      <c r="A23" s="10">
        <v>10</v>
      </c>
      <c r="B23" s="32" t="s">
        <v>69</v>
      </c>
      <c r="C23" s="33"/>
      <c r="D23" s="10" t="s">
        <v>35</v>
      </c>
      <c r="E23" s="17" t="s">
        <v>64</v>
      </c>
      <c r="F23" s="10">
        <v>1</v>
      </c>
      <c r="G23" s="11">
        <v>10.34</v>
      </c>
      <c r="H23" s="34" t="s">
        <v>65</v>
      </c>
      <c r="I23" s="35"/>
      <c r="J23" s="36"/>
      <c r="O23" s="40">
        <v>10.95</v>
      </c>
      <c r="P23" s="18"/>
    </row>
    <row r="24" spans="1:16" s="9" customFormat="1" ht="129" customHeight="1" thickBot="1" x14ac:dyDescent="0.35">
      <c r="A24" s="10">
        <v>11</v>
      </c>
      <c r="B24" s="32" t="s">
        <v>66</v>
      </c>
      <c r="C24" s="33"/>
      <c r="D24" s="10" t="s">
        <v>35</v>
      </c>
      <c r="E24" s="17" t="s">
        <v>67</v>
      </c>
      <c r="F24" s="10">
        <v>1</v>
      </c>
      <c r="G24" s="11">
        <v>5.42</v>
      </c>
      <c r="H24" s="34" t="s">
        <v>68</v>
      </c>
      <c r="I24" s="35"/>
      <c r="J24" s="36"/>
      <c r="O24" s="40">
        <v>50.4</v>
      </c>
      <c r="P24" s="18"/>
    </row>
    <row r="25" spans="1:16" ht="19.8" customHeight="1" x14ac:dyDescent="0.2">
      <c r="F25" s="6" t="s">
        <v>36</v>
      </c>
      <c r="G25" s="11">
        <f>SUM(G14:G24)</f>
        <v>194.85999999999999</v>
      </c>
      <c r="H25" s="13"/>
      <c r="I25" s="14"/>
      <c r="J25" s="15"/>
      <c r="O25" s="44">
        <f>SUM(O15:O24)</f>
        <v>195.54</v>
      </c>
      <c r="P25" s="18"/>
    </row>
    <row r="26" spans="1:16" ht="20.25" customHeight="1" x14ac:dyDescent="0.2">
      <c r="A26" s="8" t="s">
        <v>37</v>
      </c>
      <c r="B26" s="5"/>
      <c r="C26" s="9"/>
      <c r="D26" s="9"/>
      <c r="E26" s="9"/>
      <c r="F26" s="9"/>
      <c r="G26" s="9"/>
      <c r="H26" s="9"/>
      <c r="I26" s="9"/>
      <c r="J26" s="9"/>
      <c r="P26" s="18"/>
    </row>
    <row r="27" spans="1:16" ht="20.25" customHeight="1" x14ac:dyDescent="0.2">
      <c r="A27" s="8" t="s">
        <v>38</v>
      </c>
      <c r="B27" s="5"/>
      <c r="C27" s="9"/>
      <c r="D27" s="9"/>
      <c r="E27" s="9"/>
      <c r="F27" s="9"/>
      <c r="G27" s="9"/>
      <c r="H27" s="9"/>
      <c r="I27" s="9"/>
      <c r="J27" s="9"/>
      <c r="P27" s="18"/>
    </row>
    <row r="28" spans="1:16" ht="20.25" customHeight="1" x14ac:dyDescent="0.2">
      <c r="A28" s="19" t="s">
        <v>39</v>
      </c>
      <c r="B28" s="19"/>
      <c r="C28" s="19"/>
      <c r="D28" s="19"/>
      <c r="E28" s="19"/>
      <c r="F28" s="19"/>
      <c r="G28" s="19"/>
      <c r="H28" s="19"/>
      <c r="I28" s="19"/>
      <c r="J28" s="19"/>
      <c r="P28" s="18"/>
    </row>
    <row r="29" spans="1:16" ht="20.25" customHeight="1" x14ac:dyDescent="0.2">
      <c r="A29" s="19" t="s">
        <v>40</v>
      </c>
      <c r="B29" s="19"/>
      <c r="C29" s="19"/>
      <c r="D29" s="19"/>
      <c r="E29" s="19"/>
      <c r="F29" s="19"/>
      <c r="G29" s="19"/>
      <c r="H29" s="19"/>
      <c r="I29" s="19"/>
      <c r="J29" s="19"/>
    </row>
    <row r="30" spans="1:16" ht="20.25" customHeight="1" x14ac:dyDescent="0.2">
      <c r="A30" s="19" t="s">
        <v>41</v>
      </c>
      <c r="B30" s="19"/>
      <c r="C30" s="19"/>
      <c r="D30" s="19"/>
      <c r="E30" s="19"/>
      <c r="F30" s="19"/>
      <c r="G30" s="19"/>
      <c r="H30" s="19"/>
      <c r="I30" s="19"/>
      <c r="J30" s="19"/>
    </row>
    <row r="31" spans="1:16" ht="20.25" customHeight="1" x14ac:dyDescent="0.2">
      <c r="A31" s="20" t="s">
        <v>42</v>
      </c>
      <c r="B31" s="21"/>
      <c r="C31" s="21"/>
      <c r="D31" s="21"/>
      <c r="E31" s="21"/>
      <c r="F31" s="21"/>
      <c r="G31" s="21"/>
      <c r="H31" s="21"/>
      <c r="I31" s="21"/>
      <c r="J31" s="21"/>
    </row>
  </sheetData>
  <mergeCells count="49">
    <mergeCell ref="O15:O18"/>
    <mergeCell ref="B24:C24"/>
    <mergeCell ref="H24:J24"/>
    <mergeCell ref="B22:C22"/>
    <mergeCell ref="H22:J22"/>
    <mergeCell ref="B19:C19"/>
    <mergeCell ref="H19:J19"/>
    <mergeCell ref="B23:C23"/>
    <mergeCell ref="H23:J23"/>
    <mergeCell ref="B21:C21"/>
    <mergeCell ref="H21:J21"/>
    <mergeCell ref="B20:C20"/>
    <mergeCell ref="H20:J20"/>
    <mergeCell ref="B18:C18"/>
    <mergeCell ref="H18:J18"/>
    <mergeCell ref="I8:J8"/>
    <mergeCell ref="I9:J9"/>
    <mergeCell ref="I10:J10"/>
    <mergeCell ref="B13:C13"/>
    <mergeCell ref="B14:C14"/>
    <mergeCell ref="F9:G9"/>
    <mergeCell ref="F10:G10"/>
    <mergeCell ref="B15:C15"/>
    <mergeCell ref="H15:J15"/>
    <mergeCell ref="B16:C16"/>
    <mergeCell ref="H16:J16"/>
    <mergeCell ref="B17:C17"/>
    <mergeCell ref="H17:J17"/>
    <mergeCell ref="A1:B1"/>
    <mergeCell ref="A2:B2"/>
    <mergeCell ref="A3:B3"/>
    <mergeCell ref="A4:B4"/>
    <mergeCell ref="A6:B6"/>
    <mergeCell ref="A30:J30"/>
    <mergeCell ref="A31:J31"/>
    <mergeCell ref="B7:C7"/>
    <mergeCell ref="B8:C8"/>
    <mergeCell ref="B9:C9"/>
    <mergeCell ref="B10:C10"/>
    <mergeCell ref="B11:C11"/>
    <mergeCell ref="H13:J13"/>
    <mergeCell ref="H14:J14"/>
    <mergeCell ref="A29:J29"/>
    <mergeCell ref="A28:J28"/>
    <mergeCell ref="I11:J11"/>
    <mergeCell ref="F11:G11"/>
    <mergeCell ref="I7:J7"/>
    <mergeCell ref="F7:G7"/>
    <mergeCell ref="F8:G8"/>
  </mergeCells>
  <phoneticPr fontId="8" type="noConversion"/>
  <hyperlinks>
    <hyperlink ref="F10" r:id="rId1" xr:uid="{4B0FA975-3189-4873-B72F-3BA8CFB021DF}"/>
    <hyperlink ref="F9" r:id="rId2" xr:uid="{912060BB-45F0-4828-B825-30FBC7790AE4}"/>
    <hyperlink ref="F11" r:id="rId3" xr:uid="{1959B94B-25E9-474B-A88D-C5E92042CB3F}"/>
    <hyperlink ref="F8" r:id="rId4" xr:uid="{5C73BA48-5176-41DD-AED3-3D0F2DBDA9F9}"/>
    <hyperlink ref="H14:J14" r:id="rId5" display="https://sg.misumi-ec.com/vona2/detail/110300500620/?ProductCode=RMNA100" xr:uid="{8383B4C6-5ECF-4D63-A27E-07FB39ECE633}"/>
    <hyperlink ref="H15:J15" r:id="rId6" display="https://item.taobao.com/item.htm?from=cart&amp;id=679314184275&amp;mi_id=0000DBhcF5NfEMrJYAVEXUEJK5FkLFG-d0A-av7XpOz6Emo&amp;skuId=5049636415667&amp;spm=a1z0d.6639537%2F202410.item.d679314184275.323627a48R9aui&amp;upStreamPrice=2967" xr:uid="{BD63DC1F-540B-491E-9873-94ECB74F56B2}"/>
    <hyperlink ref="H16:J16" r:id="rId7" display="https://item.taobao.com/item.htm?from=cart&amp;id=680104087498&amp;mi_id=0000oYgM9GRUlkLLcwjjnsSRVWrE81UzVfUO9DAPRv7C-dQ&amp;skuId=4876111797812&amp;spm=a1z0d.6639537%2F202410.item.d680104087498.323627a48R9aui&amp;upStreamPrice=17250" xr:uid="{3D6C2FF2-E6C6-4EE0-BC43-B6DCEF9F7004}"/>
    <hyperlink ref="H17:J17" r:id="rId8" display="https://item.taobao.com/item.htm?from=cart&amp;id=679258516887&amp;mi_id=00003iG6C8Ln1pYW5QfGzGAabCpALUFXDjWLzqhYuYdtYVk&amp;spm=a1z0d.6639537%2F202410.item.d679258516887.323627a48R9aui&amp;upStreamPrice=3542&amp;skuId=4876731941225" xr:uid="{5033A5EF-CD08-4D0A-9607-69B48E39CBAF}"/>
    <hyperlink ref="H18:J18" r:id="rId9" display="https://item.taobao.com/item.htm?from=cart&amp;id=612362967048&amp;mi_id=0000XU8ze5hwWpvlyhueJWqdJ0qPVxRKIM2HaHfIUhAI3Lw&amp;spm=a1z0d.6639537%2F202410.item.d612362967048.323627a48R9aui&amp;upStreamPrice=1000" xr:uid="{EA5E57F0-E6ED-4E56-83F0-E8C57230D0C9}"/>
    <hyperlink ref="H19:J19" r:id="rId10" display="https://detail.tmall.com/item.htm?from=cart&amp;id=750164175683&amp;mi_id=0000K9-Zbgz5rdNjJn6wM-hRMLhVEcovLwP3POW4k10v1oM&amp;spm=a1z0d.6639537%2F202410.item.d750164175683.323674840X98nY&amp;upStreamPrice=2490&amp;skuId=5340822562426" xr:uid="{FB658342-8163-4AF8-9405-EFAD4F0B2A74}"/>
    <hyperlink ref="H23:J23" r:id="rId11" display="https://detail.tmall.com/item.htm?from=cart&amp;id=831478073528&amp;mi_id=0000MTQYvIrhNNhSJ1qKsLW4MqIT2HqGfxyAlbbqVC8M1oM&amp;spm=a1z0d.6639537%2F202410.item.d831478073528.32367484YRwIta&amp;upStreamPrice=3160" xr:uid="{6B0FED0B-E98D-4092-8731-0538497B90EB}"/>
    <hyperlink ref="H24:J24" r:id="rId12" display="https://detail.tmall.com/item.htm?from=cart&amp;id=601646165812&amp;mi_id=0000W3bUCAJXQkbZ_2sBVyUvoAby76uRyo5SZ5SEzBg82rc&amp;skuId=4913884128283&amp;spm=a1z0d.6639537%2F202410.item.d601646165812.32367484jG9Cty&amp;upStreamPrice=800" xr:uid="{064CEBF9-2525-4244-9A46-FE1366A4D30A}"/>
  </hyperlinks>
  <pageMargins left="0.7" right="0.7" top="0.75" bottom="0.75" header="0.3" footer="0.3"/>
  <pageSetup scale="62" orientation="landscape"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9422598-6492-471d-9d1f-9c77f43a94f7" xsi:nil="true"/>
    <lcf76f155ced4ddcb4097134ff3c332f xmlns="49548318-0a7b-4d65-bc43-907c956e523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5615753B5CCD43966271C4BDE5B13C" ma:contentTypeVersion="12" ma:contentTypeDescription="Create a new document." ma:contentTypeScope="" ma:versionID="07d938646584b3620a216412687bf4bb">
  <xsd:schema xmlns:xsd="http://www.w3.org/2001/XMLSchema" xmlns:xs="http://www.w3.org/2001/XMLSchema" xmlns:p="http://schemas.microsoft.com/office/2006/metadata/properties" xmlns:ns2="49548318-0a7b-4d65-bc43-907c956e523a" xmlns:ns3="c9422598-6492-471d-9d1f-9c77f43a94f7" targetNamespace="http://schemas.microsoft.com/office/2006/metadata/properties" ma:root="true" ma:fieldsID="f7b3de0ef6ad19dc03a2ca3c97ede2cd" ns2:_="" ns3:_="">
    <xsd:import namespace="49548318-0a7b-4d65-bc43-907c956e523a"/>
    <xsd:import namespace="c9422598-6492-471d-9d1f-9c77f43a94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548318-0a7b-4d65-bc43-907c956e52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ca7581-5256-458a-b218-643d9525617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422598-6492-471d-9d1f-9c77f43a94f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daf673d-7196-4f99-b5ca-d94ad85403b2}" ma:internalName="TaxCatchAll" ma:showField="CatchAllData" ma:web="c9422598-6492-471d-9d1f-9c77f43a94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3813DA-1F6E-4B3F-8B0D-5BC43EF42986}">
  <ds:schemaRefs>
    <ds:schemaRef ds:uri="http://purl.org/dc/dcmitype/"/>
    <ds:schemaRef ds:uri="http://purl.org/dc/elements/1.1/"/>
    <ds:schemaRef ds:uri="http://schemas.microsoft.com/office/2006/metadata/properties"/>
    <ds:schemaRef ds:uri="http://schemas.microsoft.com/office/2006/documentManagement/types"/>
    <ds:schemaRef ds:uri="http://purl.org/dc/terms/"/>
    <ds:schemaRef ds:uri="49548318-0a7b-4d65-bc43-907c956e523a"/>
    <ds:schemaRef ds:uri="http://www.w3.org/XML/1998/namespace"/>
    <ds:schemaRef ds:uri="http://schemas.microsoft.com/office/infopath/2007/PartnerControls"/>
    <ds:schemaRef ds:uri="http://schemas.openxmlformats.org/package/2006/metadata/core-properties"/>
    <ds:schemaRef ds:uri="c9422598-6492-471d-9d1f-9c77f43a94f7"/>
  </ds:schemaRefs>
</ds:datastoreItem>
</file>

<file path=customXml/itemProps2.xml><?xml version="1.0" encoding="utf-8"?>
<ds:datastoreItem xmlns:ds="http://schemas.openxmlformats.org/officeDocument/2006/customXml" ds:itemID="{F6BC68C6-5758-4330-9C46-920A64283881}">
  <ds:schemaRefs>
    <ds:schemaRef ds:uri="http://schemas.microsoft.com/sharepoint/v3/contenttype/forms"/>
  </ds:schemaRefs>
</ds:datastoreItem>
</file>

<file path=customXml/itemProps3.xml><?xml version="1.0" encoding="utf-8"?>
<ds:datastoreItem xmlns:ds="http://schemas.openxmlformats.org/officeDocument/2006/customXml" ds:itemID="{26C8E97B-201E-45D5-9EE0-083E33FE7C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548318-0a7b-4d65-bc43-907c956e523a"/>
    <ds:schemaRef ds:uri="c9422598-6492-471d-9d1f-9c77f43a94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Request Form</vt:lpstr>
    </vt:vector>
  </TitlesOfParts>
  <Manager/>
  <Company>NUS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Iris Ng</dc:creator>
  <cp:keywords/>
  <dc:description/>
  <cp:lastModifiedBy>Jeanette Sim</cp:lastModifiedBy>
  <cp:revision/>
  <dcterms:created xsi:type="dcterms:W3CDTF">2013-03-14T08:51:15Z</dcterms:created>
  <dcterms:modified xsi:type="dcterms:W3CDTF">2026-04-18T13:21:15Z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0x010100065615753B5CCD43966271C4BDE5B13C</vt:lpwstr>
  </property>
  <property fmtid="{D5CDD505-2E9C-101B-9397-08002B2CF9AE}" pid="3" name="MediaServiceImageTags">
    <vt:lpwstr/>
  </property>
</Properties>
</file>