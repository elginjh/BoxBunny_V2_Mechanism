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nusu.sharepoint.com/sites/CDE4301BoxBunny2/Shared Documents/General/Procurement/"/>
    </mc:Choice>
  </mc:AlternateContent>
  <xr:revisionPtr revIDLastSave="134" documentId="8_{BC18F0BB-550B-479D-A860-0570D3BF3FB4}" xr6:coauthVersionLast="47" xr6:coauthVersionMax="47" xr10:uidLastSave="{104B0375-8CDE-4AFC-BC06-5DBEB51C80F1}"/>
  <bookViews>
    <workbookView xWindow="-22233" yWindow="587" windowWidth="16200" windowHeight="9846" xr2:uid="{00000000-000D-0000-FFFF-FFFF00000000}"/>
  </bookViews>
  <sheets>
    <sheet name="Request Fo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G22" i="1"/>
  <c r="G23" i="1" s="1"/>
  <c r="G18" i="1"/>
  <c r="G16" i="1"/>
  <c r="G17" i="1"/>
  <c r="G15" i="1"/>
  <c r="G14" i="1"/>
</calcChain>
</file>

<file path=xl/sharedStrings.xml><?xml version="1.0" encoding="utf-8"?>
<sst xmlns="http://schemas.openxmlformats.org/spreadsheetml/2006/main" count="74" uniqueCount="62">
  <si>
    <t>Project Code:</t>
  </si>
  <si>
    <t>IS-431</t>
  </si>
  <si>
    <t>Course Code:</t>
  </si>
  <si>
    <t>CDE4301</t>
  </si>
  <si>
    <t xml:space="preserve">Project Title: </t>
  </si>
  <si>
    <t>BoxBunny</t>
  </si>
  <si>
    <t>Main Project Supervisor:</t>
  </si>
  <si>
    <t>Graham Zhu Hongjiao</t>
  </si>
  <si>
    <t>Members</t>
  </si>
  <si>
    <t>S/N</t>
  </si>
  <si>
    <t>Name</t>
  </si>
  <si>
    <t>Host Department</t>
  </si>
  <si>
    <t>Matric No.</t>
  </si>
  <si>
    <t>Email</t>
  </si>
  <si>
    <t>Contact No.</t>
  </si>
  <si>
    <t>Remarks</t>
  </si>
  <si>
    <t>Muhammad Zakir Haziq Bin Mohd Padzal</t>
  </si>
  <si>
    <t>Engineering Science</t>
  </si>
  <si>
    <t>A0257956J</t>
  </si>
  <si>
    <t>e0968928@u.nus.edu</t>
  </si>
  <si>
    <t>Muthukumaran Yogeeswaran</t>
  </si>
  <si>
    <t>A0253028L</t>
  </si>
  <si>
    <t>yogeeswaran@u.nus.edu</t>
  </si>
  <si>
    <t>Ng Jun Hao Elgin</t>
  </si>
  <si>
    <t>A0265721E</t>
  </si>
  <si>
    <t>e1067157@u.nus.edu</t>
  </si>
  <si>
    <t>Sim Yu Jeanette</t>
  </si>
  <si>
    <t>A0254736X</t>
  </si>
  <si>
    <t>jeanette.sim@u.nus.edu</t>
  </si>
  <si>
    <t>Item Description &amp; Part/Model No.</t>
  </si>
  <si>
    <r>
      <t>Class of Item ( Normal / Chemical /</t>
    </r>
    <r>
      <rPr>
        <b/>
        <sz val="10"/>
        <color rgb="FFFF0000"/>
        <rFont val="Verdana"/>
        <family val="2"/>
      </rPr>
      <t xml:space="preserve"> Biological </t>
    </r>
    <r>
      <rPr>
        <b/>
        <sz val="10"/>
        <color theme="1"/>
        <rFont val="Verdana"/>
        <family val="2"/>
      </rPr>
      <t>/ Hazardous*)</t>
    </r>
  </si>
  <si>
    <t>Unit price</t>
  </si>
  <si>
    <t xml:space="preserve">Quantity </t>
  </si>
  <si>
    <t>Sub Total</t>
  </si>
  <si>
    <t>Distributor/Supplier/URL</t>
  </si>
  <si>
    <t>Normal</t>
  </si>
  <si>
    <t>Grand Total</t>
  </si>
  <si>
    <r>
      <t xml:space="preserve">* </t>
    </r>
    <r>
      <rPr>
        <b/>
        <sz val="10"/>
        <color rgb="FFFF0000"/>
        <rFont val="Verdana"/>
        <family val="2"/>
      </rPr>
      <t>Important Note:</t>
    </r>
  </si>
  <si>
    <r>
      <t xml:space="preserve">1. Please take note that the claim for reimbursement of any purchases must be submitted within 1 month. </t>
    </r>
    <r>
      <rPr>
        <b/>
        <sz val="10"/>
        <color rgb="FFFF0000"/>
        <rFont val="Verdana"/>
        <family val="2"/>
      </rPr>
      <t>No claim is allowed after 1 month of purchase.</t>
    </r>
  </si>
  <si>
    <r>
      <t xml:space="preserve">2. For Chemical / </t>
    </r>
    <r>
      <rPr>
        <b/>
        <sz val="10"/>
        <color rgb="FFFF0000"/>
        <rFont val="Verdana"/>
        <family val="2"/>
      </rPr>
      <t>Biological</t>
    </r>
    <r>
      <rPr>
        <b/>
        <sz val="10"/>
        <color theme="1"/>
        <rFont val="Verdana"/>
        <family val="2"/>
      </rPr>
      <t xml:space="preserve"> / Hazardous item(s) - Please indicate the</t>
    </r>
    <r>
      <rPr>
        <b/>
        <sz val="10"/>
        <color rgb="FFFF0000"/>
        <rFont val="Verdana"/>
        <family val="2"/>
      </rPr>
      <t xml:space="preserve"> safe handling </t>
    </r>
    <r>
      <rPr>
        <b/>
        <sz val="10"/>
        <color theme="1"/>
        <rFont val="Verdana"/>
        <family val="2"/>
      </rPr>
      <t>requirements</t>
    </r>
    <r>
      <rPr>
        <b/>
        <sz val="10"/>
        <rFont val="Verdana"/>
        <family val="2"/>
      </rPr>
      <t xml:space="preserve"> through a</t>
    </r>
    <r>
      <rPr>
        <b/>
        <sz val="10"/>
        <color rgb="FFFF0000"/>
        <rFont val="Verdana"/>
        <family val="2"/>
      </rPr>
      <t xml:space="preserve"> risk assessment,</t>
    </r>
    <r>
      <rPr>
        <b/>
        <sz val="10"/>
        <color theme="1"/>
        <rFont val="Verdana"/>
        <family val="2"/>
      </rPr>
      <t xml:space="preserve"> and provide the</t>
    </r>
    <r>
      <rPr>
        <b/>
        <sz val="10"/>
        <color rgb="FFFF0000"/>
        <rFont val="Verdana"/>
        <family val="2"/>
      </rPr>
      <t xml:space="preserve"> Safety Data Sheet (SDS)</t>
    </r>
    <r>
      <rPr>
        <b/>
        <sz val="10"/>
        <color theme="1"/>
        <rFont val="Verdana"/>
        <family val="2"/>
      </rPr>
      <t xml:space="preserve">. </t>
    </r>
  </si>
  <si>
    <r>
      <t xml:space="preserve">3. The </t>
    </r>
    <r>
      <rPr>
        <b/>
        <sz val="10"/>
        <color rgb="FFFF0000"/>
        <rFont val="Verdana"/>
        <family val="2"/>
      </rPr>
      <t>safe handling</t>
    </r>
    <r>
      <rPr>
        <b/>
        <sz val="10"/>
        <color theme="1"/>
        <rFont val="Verdana"/>
        <family val="2"/>
      </rPr>
      <t xml:space="preserve"> requirements include the usage, PPE, transfer/transportation, storage and disposal of the item(s).</t>
    </r>
  </si>
  <si>
    <r>
      <t xml:space="preserve">4. For Hazardous item - </t>
    </r>
    <r>
      <rPr>
        <b/>
        <sz val="10"/>
        <color rgb="FFFF0000"/>
        <rFont val="Verdana"/>
        <family val="2"/>
      </rPr>
      <t>Government</t>
    </r>
    <r>
      <rPr>
        <b/>
        <sz val="10"/>
        <color theme="1"/>
        <rFont val="Verdana"/>
        <family val="2"/>
      </rPr>
      <t xml:space="preserve"> license </t>
    </r>
    <r>
      <rPr>
        <b/>
        <sz val="10"/>
        <color rgb="FFFF0000"/>
        <rFont val="Verdana"/>
        <family val="2"/>
      </rPr>
      <t>(such as from NEA, SCDF, SPF or AVA)</t>
    </r>
    <r>
      <rPr>
        <b/>
        <sz val="10"/>
        <color theme="1"/>
        <rFont val="Verdana"/>
        <family val="2"/>
      </rPr>
      <t xml:space="preserve"> is required. Hence, there might be additional cost inv</t>
    </r>
    <r>
      <rPr>
        <b/>
        <sz val="10"/>
        <rFont val="Verdana"/>
        <family val="2"/>
      </rPr>
      <t>olved</t>
    </r>
    <r>
      <rPr>
        <b/>
        <sz val="10"/>
        <color theme="1"/>
        <rFont val="Verdana"/>
        <family val="2"/>
      </rPr>
      <t xml:space="preserve"> for the licensing fee.</t>
    </r>
  </si>
  <si>
    <t>5. The safety documents submitted will be reviewed by the Acting License Holder (ALH) or the Faculty Safety Manager.</t>
  </si>
  <si>
    <r>
      <rPr>
        <sz val="11"/>
        <rFont val="Calibri"/>
        <family val="2"/>
        <scheme val="minor"/>
      </rPr>
      <t>Misumi:</t>
    </r>
    <r>
      <rPr>
        <u/>
        <sz val="11"/>
        <color theme="10"/>
        <rFont val="Calibri"/>
        <family val="2"/>
        <scheme val="minor"/>
      </rPr>
      <t xml:space="preserve">
https://sg.misumi-ec.com/vona2/detail/110300500620/?ProductCode=RMNA100</t>
    </r>
  </si>
  <si>
    <r>
      <rPr>
        <sz val="11"/>
        <rFont val="Calibri"/>
        <family val="2"/>
        <scheme val="minor"/>
      </rPr>
      <t>Misumi:</t>
    </r>
    <r>
      <rPr>
        <u/>
        <sz val="11"/>
        <color theme="10"/>
        <rFont val="Calibri"/>
        <family val="2"/>
        <scheme val="minor"/>
      </rPr>
      <t xml:space="preserve">
https://sg.misumi-ec.com/vona2/detail/110300500620/?ProductCode=RMNA104</t>
    </r>
    <r>
      <rPr>
        <sz val="11"/>
        <color theme="1"/>
        <rFont val="Calibri"/>
        <family val="2"/>
        <scheme val="minor"/>
      </rPr>
      <t/>
    </r>
  </si>
  <si>
    <t>SSFH-640SF-SUS (RIVET NUT FOR BASE_FEET)
POP STANDARD NUT SSFHSF  (32g)
POP_RIVETS</t>
  </si>
  <si>
    <t>MIKYO TECH METAL FABRICATION (S) PTE. LTD.</t>
  </si>
  <si>
    <t>Raspberry Pi 10.1" HDMI Type-C Capacitive Touch LCD with Case 1280x800</t>
  </si>
  <si>
    <t>Kuriosity</t>
  </si>
  <si>
    <t>￥11.40</t>
  </si>
  <si>
    <r>
      <rPr>
        <sz val="11"/>
        <rFont val="Calibri"/>
        <family val="2"/>
        <scheme val="minor"/>
      </rPr>
      <t>Taobao:</t>
    </r>
    <r>
      <rPr>
        <u/>
        <sz val="11"/>
        <color theme="10"/>
        <rFont val="Calibri"/>
        <family val="2"/>
        <scheme val="minor"/>
      </rPr>
      <t xml:space="preserve">
https://item.taobao.com/item.htm?id=665404763675&amp;mi_id=0000aRw3Ka52JJbQdbD0KY2CkS9JhExZM_fefqOoyBKZKQE&amp;spm=tbpc.boughtlist.suborder_itemtitle.1.d3182e8d9B84Ru&amp;sku_properties=1627207%3A796156728</t>
    </r>
  </si>
  <si>
    <r>
      <rPr>
        <sz val="11"/>
        <rFont val="Calibri"/>
        <family val="2"/>
        <scheme val="minor"/>
      </rPr>
      <t>Misumi:</t>
    </r>
    <r>
      <rPr>
        <u/>
        <sz val="11"/>
        <color theme="10"/>
        <rFont val="Calibri"/>
        <family val="2"/>
        <scheme val="minor"/>
      </rPr>
      <t xml:space="preserve">
https://sg.misumi-ec.com/vona2/detail/221000765913/?HissuCode=SSFH-640SF-SUS</t>
    </r>
  </si>
  <si>
    <r>
      <rPr>
        <sz val="11"/>
        <rFont val="Calibri"/>
        <family val="2"/>
        <scheme val="minor"/>
      </rPr>
      <t>Misumi:</t>
    </r>
    <r>
      <rPr>
        <u/>
        <sz val="11"/>
        <color theme="10"/>
        <rFont val="Calibri"/>
        <family val="2"/>
        <scheme val="minor"/>
      </rPr>
      <t xml:space="preserve">
https://sg.misumi-ec.com/vona2/detail/110300098460/?HissuCode=KCLSBF12-62</t>
    </r>
  </si>
  <si>
    <r>
      <rPr>
        <sz val="11"/>
        <rFont val="Calibri"/>
        <family val="2"/>
        <scheme val="minor"/>
      </rPr>
      <t>Misumi:</t>
    </r>
    <r>
      <rPr>
        <u/>
        <sz val="11"/>
        <color theme="10"/>
        <rFont val="Calibri"/>
        <family val="2"/>
        <scheme val="minor"/>
      </rPr>
      <t xml:space="preserve">
https://sg.misumi-ec.com/vona2/detail/110310339929/?HissuCode=C-CFFRUCS10-22</t>
    </r>
  </si>
  <si>
    <t>CMFLB10-25 (FOR ROLLER)
Brackets for Cam Followers-L-Shaped CAMFOLLOWER  (4g)
MISUMI</t>
  </si>
  <si>
    <t>KCLSBF12-62 (PIN FOR REAR WHEELS)
Pivot Pins - Diameter Tolerance Selectable (160g)
MISUMI</t>
  </si>
  <si>
    <t>C-CFFRUCS10-22 (FOR ROLLER)
Nylon Coated Cam Followers (224g)
MISUMI</t>
  </si>
  <si>
    <t>Replacement Wheels for Casters (680g)
[RMNA100]</t>
  </si>
  <si>
    <t>Steel Material &amp; Welding:
- fab2_circular bottom: 15mm A6061- Machining ($72)
- fab2_circular top: 10mm A6061- Machining ($245)
- weld2_base feet: 3mm RHS75*50- Primer &amp; Powder coat ($245)
- weld2_base plate: 5mm MS- Primer &amp; Powder coat ($110)</t>
  </si>
  <si>
    <t>Sponge (FOR PADDING CUSHION)
高密度海绵垫子防震海绵块可裁剪海棉沙发靠背软包长条海绵坐垫片 High-density sponge cushions, shock-absorbing sponge blocks, cuttable sponge sofa backrest upholstery, long strip sponge
[10cm thick, 50cm*50cm]</t>
  </si>
  <si>
    <t xml:space="preserve">Timing Belt:
Rubber timing belt HTD8M936/944/952/960/968/976/984/992/1000/1008
[HTD8M968 x1, HTD8M984 x1]
</t>
  </si>
  <si>
    <r>
      <rPr>
        <sz val="11"/>
        <rFont val="Calibri"/>
        <family val="2"/>
        <scheme val="minor"/>
      </rPr>
      <t>Taobao:</t>
    </r>
    <r>
      <rPr>
        <u/>
        <sz val="11"/>
        <color theme="10"/>
        <rFont val="Calibri"/>
        <family val="2"/>
        <scheme val="minor"/>
      </rPr>
      <t xml:space="preserve">
https://item.taobao.com/item.htm?app=chrome&amp;bxsign=scduq_VaXqF_FZ1LQicBTwyvfrpdzQAM_arzjC8fouNAU9k1pbm-ugamWICOjxWfY-eIuk19sqI2_HUHnPlN6HkXkK_Nz51pHgFurkwkNinMhyErWXmkf-lo72aMicJhhpWxbMFeVZarT5kHviE5o4WyA&amp;cpp=1&amp;id=771370365962&amp;price=5&amp;shareUniqueId=35496739876&amp;share_crt_v=1&amp;shareurl=true&amp;short_name=h.iSBEZC15bn9hO0w&amp;sourceType=item&amp;sp_tk=QVRMRTViUWRiRjc%3D&amp;spm=a2159r.13376460.0.0&amp;suid=90D44DC6-084F-4BFE-9FEA-00F3A7075FC1&amp;tbSocialPopKey=shareItem&amp;tk=ATLE5bQdbF7&amp;un=d01bab87f6293f7d22eb8fcf8800cd3e&amp;un_site=0&amp;ut_sk=1.aVyS0%2FDbKNEDAAcO7jFtB6ty_21380790_1774525609370.Copy.1&amp;wxsign=tbwBU6mUkf52X2XAH4IWmoE0TBMtFvYAUQSQNCe_KqPtKA5HQpgHey1iy4QcWGT_wANJwzrbuuCcOinQcCLQ2MW3asrjY6yRqybq9P-hwh9QUt3BioJQWMlsegJUcEaREUhIDX2yFX9UpMx8I7WNONY9Q</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</si>
</sst>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_(&quot;$&quot;* #,##0.00_);_(&quot;$&quot;* \(#,##0.00\);_(&quot;$&quot;* &quot;-&quot;??_);_(@_)"/>
  </numFmts>
  <fonts count="10" x14ac:knownFonts="1">
    <font>
      <sz val="11"/>
      <color theme="1"/>
      <name val="Calibri"/>
      <family val="2"/>
      <scheme val="minor"/>
    </font>
    <font>
      <b/>
      <sz val="10"/>
      <color theme="1"/>
      <name val="Verdana"/>
      <family val="2"/>
    </font>
    <font>
      <sz val="10"/>
      <color theme="1"/>
      <name val="Verdana"/>
      <family val="2"/>
    </font>
    <font>
      <b/>
      <sz val="10"/>
      <color rgb="FFFF0000"/>
      <name val="Verdana"/>
      <family val="2"/>
    </font>
    <font>
      <b/>
      <sz val="10"/>
      <name val="Verdana"/>
      <family val="2"/>
    </font>
    <font>
      <sz val="10"/>
      <name val="Verdana"/>
      <family val="2"/>
    </font>
    <font>
      <u/>
      <sz val="11"/>
      <color theme="10"/>
      <name val="Calibri"/>
      <family val="2"/>
      <scheme val="minor"/>
    </font>
    <font>
      <sz val="11"/>
      <name val="Calibri"/>
      <family val="2"/>
      <scheme val="minor"/>
    </font>
    <font>
      <sz val="8"/>
      <name val="Calibri"/>
      <family val="2"/>
      <scheme val="minor"/>
    </font>
    <font>
      <b/>
      <i/>
      <sz val="8"/>
      <color rgb="FFEE0000"/>
      <name val="Verdana"/>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46">
    <xf numFmtId="0" fontId="0" fillId="0" borderId="0" xfId="0"/>
    <xf numFmtId="0" fontId="1" fillId="0" borderId="2" xfId="0" applyFont="1" applyBorder="1"/>
    <xf numFmtId="0" fontId="1" fillId="0" borderId="0" xfId="0" applyFont="1"/>
    <xf numFmtId="0" fontId="2" fillId="0" borderId="0" xfId="0" applyFont="1"/>
    <xf numFmtId="0" fontId="2" fillId="0" borderId="0" xfId="0" applyFont="1" applyAlignment="1">
      <alignment horizontal="left"/>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left" vertical="center"/>
    </xf>
    <xf numFmtId="0" fontId="2" fillId="0" borderId="0" xfId="0" applyFont="1" applyAlignment="1">
      <alignment vertical="center"/>
    </xf>
    <xf numFmtId="0" fontId="2" fillId="0" borderId="1" xfId="0" applyFont="1" applyBorder="1" applyAlignment="1">
      <alignment horizontal="center" vertical="center"/>
    </xf>
    <xf numFmtId="164" fontId="5" fillId="0" borderId="1" xfId="0" applyNumberFormat="1" applyFont="1" applyBorder="1" applyAlignment="1">
      <alignment horizontal="left" vertical="center"/>
    </xf>
    <xf numFmtId="0" fontId="1" fillId="0" borderId="5" xfId="0" applyFont="1" applyBorder="1"/>
    <xf numFmtId="0" fontId="2" fillId="0" borderId="3" xfId="0" applyFont="1" applyBorder="1"/>
    <xf numFmtId="0" fontId="2" fillId="0" borderId="5" xfId="0" applyFont="1" applyBorder="1"/>
    <xf numFmtId="0" fontId="2" fillId="0" borderId="4" xfId="0" applyFont="1" applyBorder="1"/>
    <xf numFmtId="164" fontId="5" fillId="0" borderId="1" xfId="0" applyNumberFormat="1" applyFont="1" applyBorder="1" applyAlignment="1">
      <alignment horizontal="left" vertical="center" wrapText="1"/>
    </xf>
    <xf numFmtId="164" fontId="5" fillId="0" borderId="1" xfId="0" applyNumberFormat="1" applyFont="1" applyBorder="1" applyAlignment="1">
      <alignment horizontal="right" vertical="center" wrapText="1"/>
    </xf>
    <xf numFmtId="164" fontId="2" fillId="0" borderId="0" xfId="0" applyNumberFormat="1" applyFont="1" applyAlignment="1">
      <alignment vertical="center"/>
    </xf>
    <xf numFmtId="0" fontId="0" fillId="0" borderId="1" xfId="0" applyBorder="1" applyAlignment="1">
      <alignment vertical="center" wrapText="1"/>
    </xf>
    <xf numFmtId="0" fontId="6" fillId="0" borderId="1" xfId="1"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7" fillId="0" borderId="3" xfId="1" applyFont="1" applyBorder="1" applyAlignment="1">
      <alignment horizontal="left" vertical="center" wrapText="1"/>
    </xf>
    <xf numFmtId="0" fontId="6" fillId="0" borderId="5" xfId="1" applyBorder="1" applyAlignment="1">
      <alignment horizontal="left" vertical="center" wrapText="1"/>
    </xf>
    <xf numFmtId="0" fontId="6" fillId="0" borderId="4" xfId="1" applyBorder="1" applyAlignment="1">
      <alignment horizontal="left" vertical="center" wrapText="1"/>
    </xf>
    <xf numFmtId="0" fontId="6" fillId="0" borderId="3" xfId="1" applyBorder="1" applyAlignment="1">
      <alignment horizontal="left"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1" xfId="0" applyFont="1" applyBorder="1" applyAlignment="1">
      <alignment horizontal="center" vertical="center" wrapText="1"/>
    </xf>
    <xf numFmtId="0" fontId="6" fillId="0" borderId="3" xfId="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6" fillId="0" borderId="3" xfId="1" applyBorder="1" applyAlignment="1">
      <alignment horizontal="left" vertical="top" wrapText="1"/>
    </xf>
    <xf numFmtId="0" fontId="6" fillId="0" borderId="5" xfId="1" applyBorder="1" applyAlignment="1">
      <alignment horizontal="left" vertical="top" wrapText="1"/>
    </xf>
    <xf numFmtId="0" fontId="6" fillId="0" borderId="4" xfId="1" applyBorder="1" applyAlignment="1">
      <alignment horizontal="left" vertical="top" wrapText="1"/>
    </xf>
    <xf numFmtId="0" fontId="4" fillId="0" borderId="0" xfId="0" applyFont="1" applyAlignment="1">
      <alignment horizontal="left" vertical="center" wrapText="1"/>
    </xf>
    <xf numFmtId="0" fontId="3" fillId="0" borderId="0" xfId="0" applyFont="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1" xfId="0" applyFont="1" applyBorder="1" applyAlignment="1">
      <alignment horizontal="center" vertical="center"/>
    </xf>
    <xf numFmtId="8" fontId="9" fillId="0" borderId="6" xfId="0" applyNumberFormat="1" applyFont="1" applyBorder="1" applyAlignment="1">
      <alignment horizontal="center" vertical="center" wrapText="1"/>
    </xf>
    <xf numFmtId="8" fontId="9" fillId="0" borderId="7" xfId="0" applyNumberFormat="1" applyFont="1" applyBorder="1" applyAlignment="1">
      <alignment horizontal="center" vertical="center" wrapText="1"/>
    </xf>
    <xf numFmtId="8" fontId="2" fillId="0" borderId="0" xfId="0" applyNumberFormat="1"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g.misumi-ec.com/vona2/detail/110300098460/?HissuCode=KCLSBF12-62" TargetMode="External"/><Relationship Id="rId3" Type="http://schemas.openxmlformats.org/officeDocument/2006/relationships/hyperlink" Target="mailto:jeanette.sim@u.nus.edu" TargetMode="External"/><Relationship Id="rId7" Type="http://schemas.openxmlformats.org/officeDocument/2006/relationships/hyperlink" Target="https://sg.misumi-ec.com/vona2/detail/221000765913/?HissuCode=SSFH-640SF-SUS" TargetMode="External"/><Relationship Id="rId12" Type="http://schemas.openxmlformats.org/officeDocument/2006/relationships/printerSettings" Target="../printerSettings/printerSettings1.bin"/><Relationship Id="rId2" Type="http://schemas.openxmlformats.org/officeDocument/2006/relationships/hyperlink" Target="mailto:yogeeswaran@u.nus.edu" TargetMode="External"/><Relationship Id="rId1" Type="http://schemas.openxmlformats.org/officeDocument/2006/relationships/hyperlink" Target="mailto:e1067157@u.nus.edu" TargetMode="External"/><Relationship Id="rId6" Type="http://schemas.openxmlformats.org/officeDocument/2006/relationships/hyperlink" Target="https://item.taobao.com/item.htm?id=665404763675&amp;mi_id=0000aRw3Ka52JJbQdbD0KY2CkS9JhExZM_fefqOoyBKZKQE&amp;spm=tbpc.boughtlist.suborder_itemtitle.1.d3182e8d9B84Ru&amp;sku_properties=1627207%3A796156728" TargetMode="External"/><Relationship Id="rId11" Type="http://schemas.openxmlformats.org/officeDocument/2006/relationships/hyperlink" Target="https://item.taobao.com/item.htm?app=chrome&amp;bxsign=scduq_VaXqF_FZ1LQicBTwyvfrpdzQAM_arzjC8fouNAU9k1pbm-ugamWICOjxWfY-eIuk19sqI2_HUHnPlN6HkXkK_Nz51pHgFurkwkNinMhyErWXmkf-lo72aMicJhhpWxbMFeVZarT5kHviE5o4WyA&amp;cpp=1&amp;id=771370365962&amp;price=5&amp;shareUniqueId=35496739876&amp;share_crt_v=1&amp;shareurl=true&amp;short_name=h.iSBEZC15bn9hO0w&amp;sourceType=item&amp;sp_tk=QVRMRTViUWRiRjc%3D&amp;spm=a2159r.13376460.0.0&amp;suid=90D44DC6-084F-4BFE-9FEA-00F3A7075FC1&amp;tbSocialPopKey=shareItem&amp;tk=ATLE5bQdbF7&amp;un=d01bab87f6293f7d22eb8fcf8800cd3e&amp;un_site=0&amp;ut_sk=1.aVyS0%2FDbKNEDAAcO7jFtB6ty_21380790_1774525609370.Copy.1&amp;wxsign=tbwBU6mUkf52X2XAH4IWmoE0TBMtFvYAUQSQNCe_KqPtKA5HQpgHey1iy4QcWGT_wANJwzrbuuCcOinQcCLQ2MW3asrjY6yRqybq9P-hwh9QUt3BioJQWMlsegJUcEaREUhIDX2yFX9UpMx8I7WNONY9Q" TargetMode="External"/><Relationship Id="rId5" Type="http://schemas.openxmlformats.org/officeDocument/2006/relationships/hyperlink" Target="https://sg.misumi-ec.com/vona2/detail/110300500620/?ProductCode=RMNA100" TargetMode="External"/><Relationship Id="rId10" Type="http://schemas.openxmlformats.org/officeDocument/2006/relationships/hyperlink" Target="https://sg.misumi-ec.com/vona2/detail/110300500620/?ProductCode=RMNA100" TargetMode="External"/><Relationship Id="rId4" Type="http://schemas.openxmlformats.org/officeDocument/2006/relationships/hyperlink" Target="mailto:e0968928@u.nus.edu" TargetMode="External"/><Relationship Id="rId9" Type="http://schemas.openxmlformats.org/officeDocument/2006/relationships/hyperlink" Target="https://sg.misumi-ec.com/vona2/detail/110310339929/?HissuCode=C-CFFRUCS1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9"/>
  <sheetViews>
    <sheetView showGridLines="0" tabSelected="1" topLeftCell="E19" zoomScale="70" zoomScaleNormal="70" workbookViewId="0">
      <selection activeCell="N21" sqref="N21"/>
    </sheetView>
  </sheetViews>
  <sheetFormatPr defaultColWidth="9.1328125" defaultRowHeight="12.4" x14ac:dyDescent="0.3"/>
  <cols>
    <col min="1" max="1" width="5.796875" style="4" customWidth="1"/>
    <col min="2" max="2" width="10.796875" style="4" customWidth="1"/>
    <col min="3" max="3" width="66" style="3" customWidth="1"/>
    <col min="4" max="4" width="35.796875" style="3" customWidth="1"/>
    <col min="5" max="8" width="20.796875" style="3" customWidth="1"/>
    <col min="9" max="9" width="12.796875" style="3" customWidth="1"/>
    <col min="10" max="10" width="25.796875" style="3" customWidth="1"/>
    <col min="11" max="11" width="9.1328125" style="3"/>
    <col min="12" max="12" width="9.53125" style="3" bestFit="1" customWidth="1"/>
    <col min="13" max="13" width="9.1328125" style="3"/>
    <col min="14" max="14" width="10.1328125" style="3" bestFit="1" customWidth="1"/>
    <col min="15" max="16384" width="9.1328125" style="3"/>
  </cols>
  <sheetData>
    <row r="1" spans="1:14" s="2" customFormat="1" ht="20.25" customHeight="1" x14ac:dyDescent="0.3">
      <c r="A1" s="33" t="s">
        <v>0</v>
      </c>
      <c r="B1" s="33"/>
      <c r="C1" s="1" t="s">
        <v>1</v>
      </c>
      <c r="D1" s="1"/>
    </row>
    <row r="2" spans="1:14" s="2" customFormat="1" ht="20.25" customHeight="1" x14ac:dyDescent="0.3">
      <c r="A2" s="34" t="s">
        <v>2</v>
      </c>
      <c r="B2" s="34"/>
      <c r="C2" s="1" t="s">
        <v>3</v>
      </c>
      <c r="D2" s="12"/>
    </row>
    <row r="3" spans="1:14" s="2" customFormat="1" ht="24" customHeight="1" x14ac:dyDescent="0.3">
      <c r="A3" s="33" t="s">
        <v>4</v>
      </c>
      <c r="B3" s="33"/>
      <c r="C3" s="1" t="s">
        <v>5</v>
      </c>
      <c r="D3" s="12"/>
    </row>
    <row r="4" spans="1:14" s="2" customFormat="1" ht="26.25" customHeight="1" x14ac:dyDescent="0.3">
      <c r="A4" s="34" t="s">
        <v>6</v>
      </c>
      <c r="B4" s="34"/>
      <c r="C4" s="1" t="s">
        <v>7</v>
      </c>
      <c r="D4" s="12"/>
    </row>
    <row r="5" spans="1:14" s="2" customFormat="1" ht="20.25" customHeight="1" x14ac:dyDescent="0.3">
      <c r="A5" s="8"/>
      <c r="B5" s="8"/>
    </row>
    <row r="6" spans="1:14" ht="20.25" customHeight="1" x14ac:dyDescent="0.3">
      <c r="A6" s="33" t="s">
        <v>8</v>
      </c>
      <c r="B6" s="33"/>
    </row>
    <row r="7" spans="1:14" ht="20.25" customHeight="1" x14ac:dyDescent="0.3">
      <c r="A7" s="6" t="s">
        <v>9</v>
      </c>
      <c r="B7" s="32" t="s">
        <v>10</v>
      </c>
      <c r="C7" s="31"/>
      <c r="D7" s="6" t="s">
        <v>11</v>
      </c>
      <c r="E7" s="6" t="s">
        <v>12</v>
      </c>
      <c r="F7" s="32" t="s">
        <v>13</v>
      </c>
      <c r="G7" s="31"/>
      <c r="H7" s="6" t="s">
        <v>14</v>
      </c>
      <c r="I7" s="32" t="s">
        <v>15</v>
      </c>
      <c r="J7" s="31"/>
    </row>
    <row r="8" spans="1:14" ht="37.049999999999997" customHeight="1" x14ac:dyDescent="0.3">
      <c r="A8" s="10">
        <v>1</v>
      </c>
      <c r="B8" s="40" t="s">
        <v>16</v>
      </c>
      <c r="C8" s="41"/>
      <c r="D8" s="10" t="s">
        <v>17</v>
      </c>
      <c r="E8" s="10" t="s">
        <v>18</v>
      </c>
      <c r="F8" s="30" t="s">
        <v>19</v>
      </c>
      <c r="G8" s="31"/>
      <c r="H8" s="10">
        <v>96607351</v>
      </c>
      <c r="I8" s="27"/>
      <c r="J8" s="28"/>
    </row>
    <row r="9" spans="1:14" ht="20.25" customHeight="1" x14ac:dyDescent="0.3">
      <c r="A9" s="10">
        <v>2</v>
      </c>
      <c r="B9" s="27" t="s">
        <v>20</v>
      </c>
      <c r="C9" s="28"/>
      <c r="D9" s="10" t="s">
        <v>17</v>
      </c>
      <c r="E9" s="10" t="s">
        <v>21</v>
      </c>
      <c r="F9" s="30" t="s">
        <v>22</v>
      </c>
      <c r="G9" s="31"/>
      <c r="H9" s="10">
        <v>91774466</v>
      </c>
      <c r="I9" s="27"/>
      <c r="J9" s="28"/>
    </row>
    <row r="10" spans="1:14" ht="20.25" customHeight="1" x14ac:dyDescent="0.3">
      <c r="A10" s="10">
        <v>3</v>
      </c>
      <c r="B10" s="27" t="s">
        <v>23</v>
      </c>
      <c r="C10" s="28"/>
      <c r="D10" s="10" t="s">
        <v>17</v>
      </c>
      <c r="E10" s="10" t="s">
        <v>24</v>
      </c>
      <c r="F10" s="30" t="s">
        <v>25</v>
      </c>
      <c r="G10" s="31"/>
      <c r="H10" s="10">
        <v>98199303</v>
      </c>
      <c r="I10" s="27"/>
      <c r="J10" s="28"/>
    </row>
    <row r="11" spans="1:14" ht="20.25" customHeight="1" x14ac:dyDescent="0.3">
      <c r="A11" s="10">
        <v>4</v>
      </c>
      <c r="B11" s="27" t="s">
        <v>26</v>
      </c>
      <c r="C11" s="28"/>
      <c r="D11" s="10" t="s">
        <v>17</v>
      </c>
      <c r="E11" s="10" t="s">
        <v>27</v>
      </c>
      <c r="F11" s="30" t="s">
        <v>28</v>
      </c>
      <c r="G11" s="31"/>
      <c r="H11" s="10">
        <v>80900677</v>
      </c>
      <c r="I11" s="27"/>
      <c r="J11" s="28"/>
    </row>
    <row r="12" spans="1:14" ht="20.25" customHeight="1" thickBot="1" x14ac:dyDescent="0.35"/>
    <row r="13" spans="1:14" ht="44.25" customHeight="1" thickBot="1" x14ac:dyDescent="0.35">
      <c r="A13" s="6" t="s">
        <v>9</v>
      </c>
      <c r="B13" s="29" t="s">
        <v>29</v>
      </c>
      <c r="C13" s="29"/>
      <c r="D13" s="7" t="s">
        <v>30</v>
      </c>
      <c r="E13" s="6" t="s">
        <v>31</v>
      </c>
      <c r="F13" s="6" t="s">
        <v>32</v>
      </c>
      <c r="G13" s="6" t="s">
        <v>33</v>
      </c>
      <c r="H13" s="42" t="s">
        <v>34</v>
      </c>
      <c r="I13" s="42"/>
      <c r="J13" s="42"/>
      <c r="N13" s="43">
        <v>18.55</v>
      </c>
    </row>
    <row r="14" spans="1:14" s="9" customFormat="1" ht="54" customHeight="1" thickBot="1" x14ac:dyDescent="0.5">
      <c r="A14" s="10">
        <v>1</v>
      </c>
      <c r="B14" s="19" t="s">
        <v>57</v>
      </c>
      <c r="C14" s="19"/>
      <c r="D14" s="10" t="s">
        <v>35</v>
      </c>
      <c r="E14" s="16">
        <v>7.58</v>
      </c>
      <c r="F14" s="10">
        <v>2</v>
      </c>
      <c r="G14" s="11">
        <f>E14*F14</f>
        <v>15.16</v>
      </c>
      <c r="H14" s="20" t="s">
        <v>43</v>
      </c>
      <c r="I14" s="20"/>
      <c r="J14" s="20"/>
      <c r="N14" s="44">
        <v>130.19999999999999</v>
      </c>
    </row>
    <row r="15" spans="1:14" s="9" customFormat="1" ht="93.6" customHeight="1" thickBot="1" x14ac:dyDescent="0.5">
      <c r="A15" s="10">
        <v>2</v>
      </c>
      <c r="B15" s="19" t="s">
        <v>45</v>
      </c>
      <c r="C15" s="19"/>
      <c r="D15" s="10" t="s">
        <v>35</v>
      </c>
      <c r="E15" s="16">
        <v>3.72</v>
      </c>
      <c r="F15" s="10">
        <v>8</v>
      </c>
      <c r="G15" s="11">
        <f>E15*F15</f>
        <v>29.76</v>
      </c>
      <c r="H15" s="20" t="s">
        <v>51</v>
      </c>
      <c r="I15" s="20"/>
      <c r="J15" s="20"/>
      <c r="N15" s="44">
        <v>42.11</v>
      </c>
    </row>
    <row r="16" spans="1:14" s="9" customFormat="1" ht="84" customHeight="1" thickBot="1" x14ac:dyDescent="0.5">
      <c r="A16" s="10">
        <v>3</v>
      </c>
      <c r="B16" s="19" t="s">
        <v>55</v>
      </c>
      <c r="C16" s="19"/>
      <c r="D16" s="10" t="s">
        <v>35</v>
      </c>
      <c r="E16" s="16">
        <v>18.61</v>
      </c>
      <c r="F16" s="10">
        <v>2</v>
      </c>
      <c r="G16" s="11">
        <f t="shared" ref="G16" si="0">E16*F16</f>
        <v>37.22</v>
      </c>
      <c r="H16" s="20" t="s">
        <v>52</v>
      </c>
      <c r="I16" s="20"/>
      <c r="J16" s="20"/>
      <c r="N16" s="44">
        <v>732.48</v>
      </c>
    </row>
    <row r="17" spans="1:14" s="9" customFormat="1" ht="100.8" customHeight="1" thickBot="1" x14ac:dyDescent="0.5">
      <c r="A17" s="10">
        <v>4</v>
      </c>
      <c r="B17" s="19" t="s">
        <v>56</v>
      </c>
      <c r="C17" s="19"/>
      <c r="D17" s="10" t="s">
        <v>35</v>
      </c>
      <c r="E17" s="16">
        <v>24.89</v>
      </c>
      <c r="F17" s="10">
        <v>4</v>
      </c>
      <c r="G17" s="11">
        <f>E17*F17</f>
        <v>99.56</v>
      </c>
      <c r="H17" s="20" t="s">
        <v>53</v>
      </c>
      <c r="I17" s="20"/>
      <c r="J17" s="20"/>
      <c r="N17" s="44">
        <v>5.8</v>
      </c>
    </row>
    <row r="18" spans="1:14" s="9" customFormat="1" ht="100.8" customHeight="1" thickBot="1" x14ac:dyDescent="0.5">
      <c r="A18" s="10">
        <v>5</v>
      </c>
      <c r="B18" s="19" t="s">
        <v>54</v>
      </c>
      <c r="C18" s="19"/>
      <c r="D18" s="10" t="s">
        <v>35</v>
      </c>
      <c r="E18" s="16">
        <v>42.45</v>
      </c>
      <c r="F18" s="10">
        <v>4</v>
      </c>
      <c r="G18" s="11">
        <f>E18*F18</f>
        <v>169.8</v>
      </c>
      <c r="H18" s="20" t="s">
        <v>44</v>
      </c>
      <c r="I18" s="20"/>
      <c r="J18" s="20"/>
      <c r="N18" s="44">
        <v>342.57</v>
      </c>
    </row>
    <row r="19" spans="1:14" s="9" customFormat="1" ht="87.6" customHeight="1" thickBot="1" x14ac:dyDescent="0.5">
      <c r="A19" s="10">
        <v>6</v>
      </c>
      <c r="B19" s="21" t="s">
        <v>60</v>
      </c>
      <c r="C19" s="22"/>
      <c r="D19" s="10" t="s">
        <v>35</v>
      </c>
      <c r="E19" s="17" t="s">
        <v>49</v>
      </c>
      <c r="F19" s="10">
        <v>2</v>
      </c>
      <c r="G19" s="11">
        <v>18.55</v>
      </c>
      <c r="H19" s="26" t="s">
        <v>50</v>
      </c>
      <c r="I19" s="24"/>
      <c r="J19" s="25"/>
      <c r="N19" s="44">
        <v>40.57</v>
      </c>
    </row>
    <row r="20" spans="1:14" s="9" customFormat="1" ht="108" customHeight="1" thickBot="1" x14ac:dyDescent="0.5">
      <c r="A20" s="10">
        <v>7</v>
      </c>
      <c r="B20" s="21" t="s">
        <v>58</v>
      </c>
      <c r="C20" s="22"/>
      <c r="D20" s="10" t="s">
        <v>35</v>
      </c>
      <c r="E20" s="17">
        <v>672</v>
      </c>
      <c r="F20" s="10">
        <v>1</v>
      </c>
      <c r="G20" s="11">
        <v>672</v>
      </c>
      <c r="H20" s="23" t="s">
        <v>46</v>
      </c>
      <c r="I20" s="24"/>
      <c r="J20" s="25"/>
      <c r="N20" s="43">
        <v>12</v>
      </c>
    </row>
    <row r="21" spans="1:14" s="9" customFormat="1" ht="26.45" customHeight="1" x14ac:dyDescent="0.45">
      <c r="A21" s="10">
        <v>8</v>
      </c>
      <c r="B21" s="21" t="s">
        <v>47</v>
      </c>
      <c r="C21" s="22"/>
      <c r="D21" s="10" t="s">
        <v>35</v>
      </c>
      <c r="E21" s="17">
        <v>130.19999999999999</v>
      </c>
      <c r="F21" s="10">
        <v>1</v>
      </c>
      <c r="G21" s="11">
        <v>130.19999999999999</v>
      </c>
      <c r="H21" s="23" t="s">
        <v>48</v>
      </c>
      <c r="I21" s="24"/>
      <c r="J21" s="25"/>
      <c r="L21" s="18"/>
      <c r="N21" s="45">
        <f>SUM(N13:N20)</f>
        <v>1324.28</v>
      </c>
    </row>
    <row r="22" spans="1:14" s="9" customFormat="1" ht="101.45" customHeight="1" x14ac:dyDescent="0.45">
      <c r="A22" s="10">
        <v>9</v>
      </c>
      <c r="B22" s="21" t="s">
        <v>59</v>
      </c>
      <c r="C22" s="22"/>
      <c r="D22" s="10" t="s">
        <v>35</v>
      </c>
      <c r="E22" s="17">
        <v>4.28</v>
      </c>
      <c r="F22" s="10">
        <v>4</v>
      </c>
      <c r="G22" s="11">
        <f>E22*F22</f>
        <v>17.12</v>
      </c>
      <c r="H22" s="35" t="s">
        <v>61</v>
      </c>
      <c r="I22" s="36"/>
      <c r="J22" s="37"/>
      <c r="L22" s="18"/>
    </row>
    <row r="23" spans="1:14" ht="19.8" customHeight="1" x14ac:dyDescent="0.3">
      <c r="F23" s="6" t="s">
        <v>36</v>
      </c>
      <c r="G23" s="11">
        <f>SUM(G14:G22)</f>
        <v>1189.3699999999999</v>
      </c>
      <c r="H23" s="13"/>
      <c r="I23" s="14"/>
      <c r="J23" s="15"/>
    </row>
    <row r="24" spans="1:14" ht="20.25" customHeight="1" x14ac:dyDescent="0.3">
      <c r="A24" s="8" t="s">
        <v>37</v>
      </c>
      <c r="B24" s="5"/>
      <c r="C24" s="9"/>
      <c r="D24" s="9"/>
      <c r="E24" s="9"/>
      <c r="F24" s="9"/>
      <c r="G24" s="9"/>
      <c r="H24" s="9"/>
      <c r="I24" s="9"/>
      <c r="J24" s="9"/>
    </row>
    <row r="25" spans="1:14" ht="20.25" customHeight="1" x14ac:dyDescent="0.3">
      <c r="A25" s="8" t="s">
        <v>38</v>
      </c>
      <c r="B25" s="5"/>
      <c r="C25" s="9"/>
      <c r="D25" s="9"/>
      <c r="E25" s="9"/>
      <c r="F25" s="9"/>
      <c r="G25" s="9"/>
      <c r="H25" s="9"/>
      <c r="I25" s="9"/>
      <c r="J25" s="9"/>
    </row>
    <row r="26" spans="1:14" ht="20.25" customHeight="1" x14ac:dyDescent="0.3">
      <c r="A26" s="34" t="s">
        <v>39</v>
      </c>
      <c r="B26" s="34"/>
      <c r="C26" s="34"/>
      <c r="D26" s="34"/>
      <c r="E26" s="34"/>
      <c r="F26" s="34"/>
      <c r="G26" s="34"/>
      <c r="H26" s="34"/>
      <c r="I26" s="34"/>
      <c r="J26" s="34"/>
    </row>
    <row r="27" spans="1:14" ht="20.25" customHeight="1" x14ac:dyDescent="0.3">
      <c r="A27" s="34" t="s">
        <v>40</v>
      </c>
      <c r="B27" s="34"/>
      <c r="C27" s="34"/>
      <c r="D27" s="34"/>
      <c r="E27" s="34"/>
      <c r="F27" s="34"/>
      <c r="G27" s="34"/>
      <c r="H27" s="34"/>
      <c r="I27" s="34"/>
      <c r="J27" s="34"/>
    </row>
    <row r="28" spans="1:14" ht="20.25" customHeight="1" x14ac:dyDescent="0.3">
      <c r="A28" s="34" t="s">
        <v>41</v>
      </c>
      <c r="B28" s="34"/>
      <c r="C28" s="34"/>
      <c r="D28" s="34"/>
      <c r="E28" s="34"/>
      <c r="F28" s="34"/>
      <c r="G28" s="34"/>
      <c r="H28" s="34"/>
      <c r="I28" s="34"/>
      <c r="J28" s="34"/>
    </row>
    <row r="29" spans="1:14" ht="20.25" customHeight="1" x14ac:dyDescent="0.3">
      <c r="A29" s="38" t="s">
        <v>42</v>
      </c>
      <c r="B29" s="39"/>
      <c r="C29" s="39"/>
      <c r="D29" s="39"/>
      <c r="E29" s="39"/>
      <c r="F29" s="39"/>
      <c r="G29" s="39"/>
      <c r="H29" s="39"/>
      <c r="I29" s="39"/>
      <c r="J29" s="39"/>
    </row>
  </sheetData>
  <mergeCells count="44">
    <mergeCell ref="B22:C22"/>
    <mergeCell ref="H22:J22"/>
    <mergeCell ref="A28:J28"/>
    <mergeCell ref="A29:J29"/>
    <mergeCell ref="B7:C7"/>
    <mergeCell ref="B8:C8"/>
    <mergeCell ref="B9:C9"/>
    <mergeCell ref="B10:C10"/>
    <mergeCell ref="B11:C11"/>
    <mergeCell ref="H13:J13"/>
    <mergeCell ref="H14:J14"/>
    <mergeCell ref="A27:J27"/>
    <mergeCell ref="A26:J26"/>
    <mergeCell ref="I11:J11"/>
    <mergeCell ref="F11:G11"/>
    <mergeCell ref="I7:J7"/>
    <mergeCell ref="F7:G7"/>
    <mergeCell ref="F8:G8"/>
    <mergeCell ref="A1:B1"/>
    <mergeCell ref="A2:B2"/>
    <mergeCell ref="A3:B3"/>
    <mergeCell ref="A4:B4"/>
    <mergeCell ref="A6:B6"/>
    <mergeCell ref="B15:C15"/>
    <mergeCell ref="H15:J15"/>
    <mergeCell ref="B16:C16"/>
    <mergeCell ref="H16:J16"/>
    <mergeCell ref="B17:C17"/>
    <mergeCell ref="H17:J17"/>
    <mergeCell ref="I8:J8"/>
    <mergeCell ref="I9:J9"/>
    <mergeCell ref="I10:J10"/>
    <mergeCell ref="B13:C13"/>
    <mergeCell ref="B14:C14"/>
    <mergeCell ref="F9:G9"/>
    <mergeCell ref="F10:G10"/>
    <mergeCell ref="B18:C18"/>
    <mergeCell ref="H18:J18"/>
    <mergeCell ref="B20:C20"/>
    <mergeCell ref="H20:J20"/>
    <mergeCell ref="B21:C21"/>
    <mergeCell ref="H21:J21"/>
    <mergeCell ref="B19:C19"/>
    <mergeCell ref="H19:J19"/>
  </mergeCells>
  <phoneticPr fontId="8" type="noConversion"/>
  <hyperlinks>
    <hyperlink ref="F10" r:id="rId1" xr:uid="{4B0FA975-3189-4873-B72F-3BA8CFB021DF}"/>
    <hyperlink ref="F9" r:id="rId2" xr:uid="{912060BB-45F0-4828-B825-30FBC7790AE4}"/>
    <hyperlink ref="F11" r:id="rId3" xr:uid="{1959B94B-25E9-474B-A88D-C5E92042CB3F}"/>
    <hyperlink ref="F8" r:id="rId4" xr:uid="{5C73BA48-5176-41DD-AED3-3D0F2DBDA9F9}"/>
    <hyperlink ref="H14:J14" r:id="rId5" display="https://sg.misumi-ec.com/vona2/detail/110300500620/?ProductCode=RMNA100" xr:uid="{8383B4C6-5ECF-4D63-A27E-07FB39ECE633}"/>
    <hyperlink ref="H19:J19" r:id="rId6" display="https://item.taobao.com/item.htm?id=665404763675&amp;mi_id=0000aRw3Ka52JJbQdbD0KY2CkS9JhExZM_fefqOoyBKZKQE&amp;spm=tbpc.boughtlist.suborder_itemtitle.1.d3182e8d9B84Ru&amp;sku_properties=1627207%3A796156728" xr:uid="{EA5E57F0-E6ED-4E56-83F0-E8C57230D0C9}"/>
    <hyperlink ref="H15:J15" r:id="rId7" display="https://sg.misumi-ec.com/vona2/detail/221000765913/?HissuCode=SSFH-640SF-SUS" xr:uid="{CFDD8561-5650-4244-BCAC-5C4E5B492DD7}"/>
    <hyperlink ref="H16:J16" r:id="rId8" display="https://sg.misumi-ec.com/vona2/detail/110300098460/?HissuCode=KCLSBF12-62" xr:uid="{D8618BB1-0F90-4E01-A2D3-7BF8AA5C3CB0}"/>
    <hyperlink ref="H17:J17" r:id="rId9" display="https://sg.misumi-ec.com/vona2/detail/110310339929/?HissuCode=C-CFFRUCS10-22" xr:uid="{203E79BD-75E1-418B-84B8-BA35AD873A7A}"/>
    <hyperlink ref="H18:J18" r:id="rId10" display="https://sg.misumi-ec.com/vona2/detail/110300500620/?ProductCode=RMNA100" xr:uid="{69F993DE-A1B4-4491-80B9-88E10E5E5F9A}"/>
    <hyperlink ref="H22:J22" r:id="rId11" display="https://item.taobao.com/item.htm?app=chrome&amp;bxsign=scduq_VaXqF_FZ1LQicBTwyvfrpdzQAM_arzjC8fouNAU9k1pbm-ugamWICOjxWfY-eIuk19sqI2_HUHnPlN6HkXkK_Nz51pHgFurkwkNinMhyErWXmkf-lo72aMicJhhpWxbMFeVZarT5kHviE5o4WyA&amp;cpp=1&amp;id=771370365962&amp;price=5&amp;shareUniqueId=35496739876&amp;share_crt_v=1&amp;shareurl=true&amp;short_name=h.iSBEZC15bn9hO0w&amp;sourceType=item&amp;sp_tk=QVRMRTViUWRiRjc%3D&amp;spm=a2159r.13376460.0.0&amp;suid=90D44DC6-084F-4BFE-9FEA-00F3A7075FC1&amp;tbSocialPopKey=shareItem&amp;tk=ATLE5bQdbF7&amp;un=d01bab87f6293f7d22eb8fcf8800cd3e&amp;un_site=0&amp;ut_sk=1.aVyS0%2FDbKNEDAAcO7jFtB6ty_21380790_1774525609370.Copy.1&amp;wxsign=tbwBU6mUkf52X2XAH4IWmoE0TBMtFvYAUQSQNCe_KqPtKA5HQpgHey1iy4QcWGT_wANJwzrbuuCcOinQcCLQ2MW3asrjY6yRqybq9P-hwh9QUt3BioJQWMlsegJUcEaREUhIDX2yFX9UpMx8I7WNONY9Q" xr:uid="{3DB62FDD-B4B1-47AC-8C7B-3DAD9AAACC8A}"/>
  </hyperlinks>
  <pageMargins left="0.7" right="0.7" top="0.75" bottom="0.75" header="0.3" footer="0.3"/>
  <pageSetup scale="62" orientation="landscape"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5615753B5CCD43966271C4BDE5B13C" ma:contentTypeVersion="12" ma:contentTypeDescription="Create a new document." ma:contentTypeScope="" ma:versionID="07d938646584b3620a216412687bf4bb">
  <xsd:schema xmlns:xsd="http://www.w3.org/2001/XMLSchema" xmlns:xs="http://www.w3.org/2001/XMLSchema" xmlns:p="http://schemas.microsoft.com/office/2006/metadata/properties" xmlns:ns2="49548318-0a7b-4d65-bc43-907c956e523a" xmlns:ns3="c9422598-6492-471d-9d1f-9c77f43a94f7" targetNamespace="http://schemas.microsoft.com/office/2006/metadata/properties" ma:root="true" ma:fieldsID="f7b3de0ef6ad19dc03a2ca3c97ede2cd" ns2:_="" ns3:_="">
    <xsd:import namespace="49548318-0a7b-4d65-bc43-907c956e523a"/>
    <xsd:import namespace="c9422598-6492-471d-9d1f-9c77f43a94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48318-0a7b-4d65-bc43-907c956e52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422598-6492-471d-9d1f-9c77f43a94f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daf673d-7196-4f99-b5ca-d94ad85403b2}" ma:internalName="TaxCatchAll" ma:showField="CatchAllData" ma:web="c9422598-6492-471d-9d1f-9c77f43a94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9422598-6492-471d-9d1f-9c77f43a94f7" xsi:nil="true"/>
    <lcf76f155ced4ddcb4097134ff3c332f xmlns="49548318-0a7b-4d65-bc43-907c956e52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C8E97B-201E-45D5-9EE0-083E33FE7C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548318-0a7b-4d65-bc43-907c956e523a"/>
    <ds:schemaRef ds:uri="c9422598-6492-471d-9d1f-9c77f43a94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BC68C6-5758-4330-9C46-920A64283881}">
  <ds:schemaRefs>
    <ds:schemaRef ds:uri="http://schemas.microsoft.com/sharepoint/v3/contenttype/forms"/>
  </ds:schemaRefs>
</ds:datastoreItem>
</file>

<file path=customXml/itemProps3.xml><?xml version="1.0" encoding="utf-8"?>
<ds:datastoreItem xmlns:ds="http://schemas.openxmlformats.org/officeDocument/2006/customXml" ds:itemID="{E63813DA-1F6E-4B3F-8B0D-5BC43EF42986}">
  <ds:schemaRefs>
    <ds:schemaRef ds:uri="http://purl.org/dc/dcmitype/"/>
    <ds:schemaRef ds:uri="http://purl.org/dc/elements/1.1/"/>
    <ds:schemaRef ds:uri="http://schemas.microsoft.com/office/2006/metadata/properties"/>
    <ds:schemaRef ds:uri="http://schemas.microsoft.com/office/2006/documentManagement/types"/>
    <ds:schemaRef ds:uri="http://purl.org/dc/terms/"/>
    <ds:schemaRef ds:uri="49548318-0a7b-4d65-bc43-907c956e523a"/>
    <ds:schemaRef ds:uri="http://www.w3.org/XML/1998/namespace"/>
    <ds:schemaRef ds:uri="http://schemas.microsoft.com/office/infopath/2007/PartnerControls"/>
    <ds:schemaRef ds:uri="http://schemas.openxmlformats.org/package/2006/metadata/core-properties"/>
    <ds:schemaRef ds:uri="c9422598-6492-471d-9d1f-9c77f43a94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Request Form</vt:lpstr>
    </vt:vector>
  </TitlesOfParts>
  <Manager/>
  <Company>NUS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Iris Ng</dc:creator>
  <cp:keywords/>
  <dc:description/>
  <cp:lastModifiedBy>Jeanette Sim</cp:lastModifiedBy>
  <cp:revision/>
  <dcterms:created xsi:type="dcterms:W3CDTF">2013-03-14T08:51:15Z</dcterms:created>
  <dcterms:modified xsi:type="dcterms:W3CDTF">2026-04-19T13:38:12Z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0x010100065615753B5CCD43966271C4BDE5B13C</vt:lpwstr>
  </property>
  <property fmtid="{D5CDD505-2E9C-101B-9397-08002B2CF9AE}" pid="3" name="MediaServiceImageTags">
    <vt:lpwstr/>
  </property>
</Properties>
</file>