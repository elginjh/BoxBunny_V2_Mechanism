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EG3301R-BoxBunny/Shared Documents/General/Procurement/"/>
    </mc:Choice>
  </mc:AlternateContent>
  <xr:revisionPtr revIDLastSave="121" documentId="6_{69DE034A-740F-4FA6-9C51-458F0D32E63E}" xr6:coauthVersionLast="47" xr6:coauthVersionMax="47" xr10:uidLastSave="{84FBD1E5-BE44-4B56-98E2-8C28C55C8AE1}"/>
  <bookViews>
    <workbookView xWindow="-98" yWindow="-98" windowWidth="21795" windowHeight="13695" firstSheet="1" activeTab="1" xr2:uid="{00000000-000D-0000-FFFF-FFFF00000000}"/>
  </bookViews>
  <sheets>
    <sheet name="Request Form" sheetId="1" r:id="rId1"/>
    <sheet name="Numba O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G19" i="2"/>
  <c r="G18" i="2"/>
  <c r="G27" i="2"/>
</calcChain>
</file>

<file path=xl/sharedStrings.xml><?xml version="1.0" encoding="utf-8"?>
<sst xmlns="http://schemas.openxmlformats.org/spreadsheetml/2006/main" count="167" uniqueCount="76">
  <si>
    <t>Project Code:</t>
  </si>
  <si>
    <t>IS305</t>
  </si>
  <si>
    <t>Course Code:</t>
  </si>
  <si>
    <t>EG3301R</t>
  </si>
  <si>
    <t xml:space="preserve">Project Title: </t>
  </si>
  <si>
    <t>BoxBunny</t>
  </si>
  <si>
    <t>Main Project Supervisor:</t>
  </si>
  <si>
    <t>Dr Elliot Law, Dr Idris Lim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</si>
  <si>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</si>
  <si>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</si>
  <si>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</si>
  <si>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</si>
  <si>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</si>
  <si>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</si>
  <si>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</si>
  <si>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</si>
  <si>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Ramie Lim Rui Min</t>
  </si>
  <si>
    <t>EDIC</t>
  </si>
  <si>
    <t>A0222857Y</t>
  </si>
  <si>
    <t>ramie@u.nus.edu</t>
  </si>
  <si>
    <t>Muhammad Zakir Haziq</t>
  </si>
  <si>
    <t>A0257956J</t>
  </si>
  <si>
    <t>zakir.h@u.nus.edu</t>
  </si>
  <si>
    <t>Sim Yu Jeanette</t>
  </si>
  <si>
    <t>A0254736X</t>
  </si>
  <si>
    <t>kirubasankar@u.nus.edu</t>
  </si>
  <si>
    <t>Mageshkumar Kirubasankar</t>
  </si>
  <si>
    <t>A0253507H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</si>
  <si>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</si>
  <si>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</si>
  <si>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</si>
  <si>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</si>
  <si>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</si>
  <si>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</si>
  <si>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</si>
  <si>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$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</si>
  <si>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</si>
  <si>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</si>
  <si>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</si>
  <si>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</si>
  <si>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</si>
  <si>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</si>
  <si>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</si>
  <si>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10Amp 7V-35V SmartDrive DC Motor Driver (2 Channels)</t>
  </si>
  <si>
    <t>Normal</t>
  </si>
  <si>
    <r>
      <rPr>
        <sz val="10"/>
        <rFont val="Verdana"/>
        <family val="2"/>
      </rPr>
      <t xml:space="preserve">Cytron:  </t>
    </r>
    <r>
      <rPr>
        <u/>
        <sz val="10"/>
        <color theme="10"/>
        <rFont val="Verdana"/>
        <family val="2"/>
      </rPr>
      <t>https://sg.cytron.io/p-10amp-7v-35v-smartdrive-dc-motor-driver-2-channels</t>
    </r>
  </si>
  <si>
    <t>Arduino Mega 2560 R3-Main Board</t>
  </si>
  <si>
    <r>
      <rPr>
        <sz val="10"/>
        <rFont val="Verdana"/>
        <family val="2"/>
      </rPr>
      <t xml:space="preserve">Cytron: </t>
    </r>
    <r>
      <rPr>
        <u/>
        <sz val="10"/>
        <color theme="10"/>
        <rFont val="Verdana"/>
        <family val="2"/>
      </rPr>
      <t>https://sg.cytron.io/p-arduino-mega-2560-r3-main-board</t>
    </r>
  </si>
  <si>
    <t>50cm Official Raspberry Pi 5 CSI Cable for Camera</t>
  </si>
  <si>
    <r>
      <rPr>
        <sz val="10"/>
        <rFont val="Verdana"/>
        <family val="2"/>
      </rPr>
      <t xml:space="preserve">Cytron: </t>
    </r>
    <r>
      <rPr>
        <u/>
        <sz val="10"/>
        <color theme="10"/>
        <rFont val="Verdana"/>
        <family val="2"/>
      </rPr>
      <t>https://sg.cytron.io/p-fpc-22-way-to-15-way-for-camera</t>
    </r>
  </si>
  <si>
    <t>Official Raspberry Pi 7 Inch Touch Screen Display</t>
  </si>
  <si>
    <r>
      <rPr>
        <sz val="10"/>
        <rFont val="Verdana"/>
        <family val="2"/>
      </rPr>
      <t xml:space="preserve">Cytron: </t>
    </r>
    <r>
      <rPr>
        <u/>
        <sz val="10"/>
        <color theme="10"/>
        <rFont val="Verdana"/>
        <family val="2"/>
      </rPr>
      <t>https://sg.cytron.io/p-raspberry-pi-7-inch-touch-screen-display</t>
    </r>
  </si>
  <si>
    <t>Essential Kit with Raspberry Pi 5 - 8GB RAM (UK Plug)</t>
  </si>
  <si>
    <r>
      <rPr>
        <sz val="10"/>
        <rFont val="Verdana"/>
        <family val="2"/>
      </rPr>
      <t xml:space="preserve">Cytron: </t>
    </r>
    <r>
      <rPr>
        <u/>
        <sz val="10"/>
        <color theme="10"/>
        <rFont val="Verdana"/>
        <family val="2"/>
      </rPr>
      <t>https://sg.cytron.io/c-raspberry-pi-main-board/p-raspberry-pi-5</t>
    </r>
  </si>
  <si>
    <t>MULTICOMP MC002725USB Cable, Type A Plug to Type B Plug, 2 m, 6.6 ft, USB 2.0, Black</t>
  </si>
  <si>
    <r>
      <rPr>
        <sz val="10"/>
        <rFont val="Verdana"/>
        <family val="2"/>
      </rPr>
      <t xml:space="preserve">element 14: </t>
    </r>
    <r>
      <rPr>
        <u/>
        <sz val="10"/>
        <color theme="10"/>
        <rFont val="Verdana"/>
        <family val="2"/>
      </rPr>
      <t>https://sg.element14.com/multicomp/mc002725/usb-cable-2-0-type-plug-a-b-6/dp/2907948?&amp;CMP=KNC-GSG-SHOPPING-PMAX-TOP-AOV-CATEGORY&amp;mckv=_dc%7Cpcrid%7C%7Cpkw%7C%7Cpmt%7C%7Cslid%7C%7Cproduct%7C2907948%7Cpgrid%7C%7Cptaid%7C%7C&amp;gad_source=1&amp;gclid=CjwKCAjwoJa2BhBPEiwA0l0ImMHqZzrhQ9-U4nlsNKQ8DRcCPYKN52Te8F33qjO6PO7eF4Ptmam5zBoCqlAQAvD_BwE</t>
    </r>
  </si>
  <si>
    <t>Panel Mount Barrier Terminal Block, 1 Row, 2 Ways, 12 AWG, 30 A</t>
  </si>
  <si>
    <r>
      <rPr>
        <sz val="10"/>
        <rFont val="Verdana"/>
        <family val="2"/>
      </rPr>
      <t xml:space="preserve">element 14: </t>
    </r>
    <r>
      <rPr>
        <u/>
        <sz val="10"/>
        <color theme="10"/>
        <rFont val="Verdana"/>
        <family val="2"/>
      </rPr>
      <t>https://sg.element14.com/camdenboss/ctsn433-2/terminal-block-barrier-2pos-14awg/dp/2321065</t>
    </r>
  </si>
  <si>
    <t>24V 10Ah 18650 7S4P Lithium ion battery</t>
  </si>
  <si>
    <r>
      <rPr>
        <sz val="10"/>
        <rFont val="Verdana"/>
        <family val="2"/>
      </rPr>
      <t xml:space="preserve">Battery.com.sg: </t>
    </r>
    <r>
      <rPr>
        <u/>
        <sz val="10"/>
        <color theme="10"/>
        <rFont val="Verdana"/>
        <family val="2"/>
      </rPr>
      <t>https://www.battery.com.sg/product/24v-10ah-18650-7s4p-lithium-ion-battery</t>
    </r>
  </si>
  <si>
    <t>29.4V 7 cells Li-ion battery charger</t>
  </si>
  <si>
    <r>
      <rPr>
        <sz val="10"/>
        <rFont val="Verdana"/>
        <family val="2"/>
      </rPr>
      <t xml:space="preserve">Battery.com.sg: </t>
    </r>
    <r>
      <rPr>
        <u/>
        <sz val="10"/>
        <color theme="10"/>
        <rFont val="Verdana"/>
        <family val="2"/>
      </rPr>
      <t>https://www.battery.com.sg/product/294v-7-cells-li-ion-battery-charger</t>
    </r>
  </si>
  <si>
    <t>35kg RDS3235 180/270 degree digital metal gear coreless servo motor suitable for remote control robots, cars, trucks, boats
180 Degree 4PCS</t>
  </si>
  <si>
    <r>
      <rPr>
        <sz val="10"/>
        <rFont val="Verdana"/>
        <family val="2"/>
      </rPr>
      <t xml:space="preserve">Aliexpress: </t>
    </r>
    <r>
      <rPr>
        <u/>
        <sz val="10"/>
        <color theme="10"/>
        <rFont val="Verdana"/>
        <family val="2"/>
      </rPr>
      <t>https://www.aliexpress.com/item/32864056507.html?spm=a2g0o.detail.pcDetailBottomMoreOtherSeller.1.3326xhxkxhxkZW&amp;gps-id=pcDetailBottomMoreOtherSeller&amp;scm=1007.40050.354490.0&amp;scm_id=1007.40050.354490.0&amp;scm-url=1007.40050.354490.0&amp;pvid=76390eb5-4956-4112-bfef-79b4eda83e48&amp;_t=gps-id:pcDetailBottomMoreOtherSeller,scm-url:1007.40050.354490.0,pvid:76390eb5-4956-4112-bfef-79b4eda83e48,tpp_buckets:668%232846%238112%231997&amp;pdp_npi=4%40dis%21SGD%2134.46%2124.46%21%21%2125.61%2118.18%21%402101584517243021673791198e5efe%2112000038911104278%21rec%21SG%21%21ABXZ&amp;utparam-url=scene%3ApcDetailBottomMoreOtherSeller%7Cquery_from%3A</t>
    </r>
  </si>
  <si>
    <t>30Pcs Reusable Fastening Cable Straps with Buckle Variety Sizes Multi-Purpose Cinch Strap for Bike, Boat, Extension Cords, Ropes, Hoses Organization
40cm 10PCS</t>
  </si>
  <si>
    <r>
      <rPr>
        <sz val="10"/>
        <rFont val="Verdana"/>
        <family val="2"/>
      </rPr>
      <t xml:space="preserve">Shopee: </t>
    </r>
    <r>
      <rPr>
        <u/>
        <sz val="10"/>
        <color theme="10"/>
        <rFont val="Verdana"/>
        <family val="2"/>
      </rPr>
      <t>https://shopee.sg/30Pcs-Reusable-Fastening-Cable-Straps-with-Buckle-Variety-Sizes-Multi-Purpose-Cinch-Strap-for-Bike-Boat-Extension-Cords-Ropes-Hoses-Organization-i.423823734.21436223776?xptdk=79ae1312-bf03-44f3-98ac-ad75b8e69f09</t>
    </r>
  </si>
  <si>
    <t>5mm 59x13Inches EVA Foam Sheets for Crafts, Black</t>
  </si>
  <si>
    <r>
      <rPr>
        <sz val="10"/>
        <rFont val="Verdana"/>
        <family val="2"/>
      </rPr>
      <t xml:space="preserve">Amazon: </t>
    </r>
    <r>
      <rPr>
        <u/>
        <sz val="10"/>
        <color theme="10"/>
        <rFont val="Verdana"/>
        <family val="2"/>
      </rPr>
      <t>https://www.amazon.sg/Zzrywuty-Sheets-59x13in-Density-Cosplay/dp/B0CP228G75?th=1</t>
    </r>
  </si>
  <si>
    <t>NABAIJI Blue foam 118 cm noodle</t>
  </si>
  <si>
    <r>
      <rPr>
        <sz val="10"/>
        <rFont val="Verdana"/>
        <family val="2"/>
      </rPr>
      <t>Decathalon:</t>
    </r>
    <r>
      <rPr>
        <u/>
        <sz val="10"/>
        <color theme="10"/>
        <rFont val="Verdana"/>
        <family val="2"/>
      </rPr>
      <t xml:space="preserve">
https://www.decathlon.sg/p/blue-foam-118-cm-noodle-nabaiji-8543778.html?srsltid=AfmBOoq7OWp39HbBe4TYj1mNBtR9pZNk-IuRpIJxd-FUjgIZvtaepiyJ</t>
    </r>
  </si>
  <si>
    <t>Polystyrene adhesive</t>
  </si>
  <si>
    <t>Daiso</t>
  </si>
  <si>
    <t>Self Adhesive Leather Patch</t>
  </si>
  <si>
    <t>Shopee: https://shopee.sg/Self-Adhesive-Back-Adhesive-Leather-Patch-With-Lychee-Pattern-Renovation-Patch-Artificial-Leather-Repair-Patch-For-Sofa-Headboard-Background-Wall-i.1006220784.25402555859?sp_atk=9f0d5c31-37a3-4f05-adca-c5d9bb9b7708&amp;xptdk=9f0d5c31-37a3-4f05-adca-c5d9bb9b7708</t>
  </si>
  <si>
    <t>9DOF 9-Axis Accelerometer Gyroscope Magnetic Field Sensor MPU-9250</t>
  </si>
  <si>
    <t>Kuriosity: https://kuriosity.sg/products/9dof-9-axis-accelerometer-gyroscope-magnetic-field-sensor-mpu-9255-mpu-9250?variant=44757369782585&amp;currency=SGD&amp;utm_medium=product_sync&amp;utm_source=google&amp;utm_content=sag_organic&amp;utm_campaign=sag_organic&amp;gad_source=1&amp;gclid=CjwKCAjw5qC2BhB8EiwAvqa41i5p_ToBxoNY2d0a46pqqLhAn0NQg5oW_IcCr3cDNvgat6bTIOizjxoCy0k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</si>
</sst>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Verdana"/>
      <family val="2"/>
    </font>
    <font>
      <u/>
      <sz val="10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44" fontId="2" fillId="0" borderId="0" xfId="0" applyNumberFormat="1" applyFont="1"/>
    <xf numFmtId="0" fontId="7" fillId="0" borderId="4" xfId="0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ubasankar@u.nus.edu" TargetMode="External"/><Relationship Id="rId2" Type="http://schemas.openxmlformats.org/officeDocument/2006/relationships/hyperlink" Target="mailto:zakir.h@u.nus.edu" TargetMode="External"/><Relationship Id="rId1" Type="http://schemas.openxmlformats.org/officeDocument/2006/relationships/hyperlink" Target="mailto:ramie@u.nus.ed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eanette.sim@u.nus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g.cytron.io/p-arduino-mega-2560-r3-main-board" TargetMode="External"/><Relationship Id="rId13" Type="http://schemas.openxmlformats.org/officeDocument/2006/relationships/hyperlink" Target="https://www.battery.com.sg/product/294v-7-cells-li-ion-battery-charger" TargetMode="External"/><Relationship Id="rId18" Type="http://schemas.openxmlformats.org/officeDocument/2006/relationships/hyperlink" Target="https://sg.cytron.io/c-raspberry-pi-main-board/p-raspberry-pi-5" TargetMode="External"/><Relationship Id="rId3" Type="http://schemas.openxmlformats.org/officeDocument/2006/relationships/hyperlink" Target="mailto:kirubasankar@u.nus.edu" TargetMode="External"/><Relationship Id="rId7" Type="http://schemas.openxmlformats.org/officeDocument/2006/relationships/hyperlink" Target="https://sg.cytron.io/p-10amp-7v-35v-smartdrive-dc-motor-driver-2-channels" TargetMode="External"/><Relationship Id="rId12" Type="http://schemas.openxmlformats.org/officeDocument/2006/relationships/hyperlink" Target="https://www.battery.com.sg/product/24v-10ah-18650-7s4p-lithium-ion-battery" TargetMode="External"/><Relationship Id="rId17" Type="http://schemas.openxmlformats.org/officeDocument/2006/relationships/hyperlink" Target="https://sg.cytron.io/p-raspberry-pi-7-inch-touch-screen-display" TargetMode="External"/><Relationship Id="rId2" Type="http://schemas.openxmlformats.org/officeDocument/2006/relationships/hyperlink" Target="mailto:zakir.h@u.nus.edu" TargetMode="External"/><Relationship Id="rId16" Type="http://schemas.openxmlformats.org/officeDocument/2006/relationships/hyperlink" Target="https://www.amazon.sg/Zzrywuty-Sheets-59x13in-Density-Cosplay/dp/B0CP228G75?th=1" TargetMode="External"/><Relationship Id="rId1" Type="http://schemas.openxmlformats.org/officeDocument/2006/relationships/hyperlink" Target="mailto:ramie@u.nus.edu" TargetMode="External"/><Relationship Id="rId6" Type="http://schemas.openxmlformats.org/officeDocument/2006/relationships/hyperlink" Target="https://sg.cytron.io/p-raspberry-pi-7-inch-touch-screen-display" TargetMode="External"/><Relationship Id="rId11" Type="http://schemas.openxmlformats.org/officeDocument/2006/relationships/hyperlink" Target="https://sg.element14.com/camdenboss/ctsn433-2/terminal-block-barrier-2pos-14awg/dp/2321065" TargetMode="External"/><Relationship Id="rId5" Type="http://schemas.openxmlformats.org/officeDocument/2006/relationships/hyperlink" Target="https://www.decathlon.sg/p/blue-foam-118-cm-noodle-nabaiji-8543778.html?srsltid=AfmBOoq7OWp39HbBe4TYj1mNBtR9pZNk-IuRpIJxd-FUjgIZvtaepiyJ" TargetMode="External"/><Relationship Id="rId15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0" Type="http://schemas.openxmlformats.org/officeDocument/2006/relationships/hyperlink" Target="https://sg.cytron.io/p-fpc-22-way-to-15-way-for-camera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jeanette.sim@u.nus.edu" TargetMode="External"/><Relationship Id="rId9" Type="http://schemas.openxmlformats.org/officeDocument/2006/relationships/hyperlink" Target="https://sg.element14.com/multicomp/mc002725/usb-cable-2-0-type-plug-a-b-6/dp/2907948?&amp;CMP=KNC-GSG-SHOPPING-PMAX-TOP-AOV-CATEGORY&amp;mckv=_dc%7Cpcrid%7C%7Cpkw%7C%7Cpmt%7C%7Cslid%7C%7Cproduct%7C2907948%7Cpgrid%7C%7Cptaid%7C%7C&amp;gad_source=1&amp;gclid=CjwKCAjwoJa2BhBPEiwA0l0ImMHqZzrhQ9-U4nlsNKQ8DRcCPYKN52Te8F33qjO6PO7eF4Ptmam5zBoCqlAQAvD_BwE" TargetMode="External"/><Relationship Id="rId14" Type="http://schemas.openxmlformats.org/officeDocument/2006/relationships/hyperlink" Target="https://www.aliexpress.com/item/32864056507.html?spm=a2g0o.detail.pcDetailBottomMoreOtherSeller.1.3326xhxkxhxkZW&amp;gps-id=pcDetailBottomMoreOtherSeller&amp;scm=1007.40050.354490.0&amp;scm_id=1007.40050.354490.0&amp;scm-url=1007.40050.354490.0&amp;pvid=76390eb5-4956-4112-bfef-79b4eda83e48&amp;_t=gps-id:pcDetailBottomMoreOtherSeller,scm-url:1007.40050.354490.0,pvid:76390eb5-4956-4112-bfef-79b4eda83e48,tpp_buckets:668%232846%238112%231997&amp;pdp_npi=4%40dis%21SGD%2134.46%2124.46%21%21%2125.61%2118.18%21%402101584517243021673791198e5efe%2112000038911104278%21rec%21SG%21%21ABXZ&amp;utparam-url=scene%3ApcDetailBottomMoreOtherSeller%7Cquery_from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showGridLines="0" zoomScale="78" zoomScaleNormal="78" workbookViewId="0">
      <selection activeCell="K6" sqref="K6"/>
    </sheetView>
  </sheetViews>
  <sheetFormatPr defaultColWidth="9.140625" defaultRowHeight="12.4"/>
  <cols>
    <col min="1" max="1" width="5.7109375" style="5" customWidth="1"/>
    <col min="2" max="2" width="10.7109375" style="5" customWidth="1"/>
    <col min="3" max="3" width="25.7109375" style="3" customWidth="1"/>
    <col min="4" max="4" width="35.7109375" style="3" customWidth="1"/>
    <col min="5" max="8" width="20.7109375" style="3" customWidth="1"/>
    <col min="9" max="9" width="12.7109375" style="3" customWidth="1"/>
    <col min="10" max="10" width="20.7109375" style="3" customWidth="1"/>
    <col min="11" max="16384" width="9.140625" style="3"/>
  </cols>
  <sheetData>
    <row r="1" spans="1:10" s="2" customFormat="1" ht="20.100000000000001" customHeight="1">
      <c r="A1" s="35" t="s">
        <v>0</v>
      </c>
      <c r="B1" s="35"/>
      <c r="C1" s="1" t="s">
        <v>1</v>
      </c>
      <c r="D1" s="1"/>
    </row>
    <row r="2" spans="1:10" s="2" customFormat="1" ht="20.100000000000001" customHeight="1">
      <c r="A2" s="26" t="s">
        <v>2</v>
      </c>
      <c r="B2" s="26"/>
      <c r="C2" s="1" t="s">
        <v>3</v>
      </c>
      <c r="D2" s="13"/>
    </row>
    <row r="3" spans="1:10" s="2" customFormat="1" ht="24" customHeight="1">
      <c r="A3" s="35" t="s">
        <v>4</v>
      </c>
      <c r="B3" s="35"/>
      <c r="C3" s="1" t="s">
        <v>5</v>
      </c>
      <c r="D3" s="13"/>
    </row>
    <row r="4" spans="1:10" s="2" customFormat="1" ht="26.25" customHeight="1">
      <c r="A4" s="26" t="s">
        <v>6</v>
      </c>
      <c r="B4" s="26"/>
      <c r="C4" s="1" t="s">
        <v>7</v>
      </c>
      <c r="D4" s="13"/>
    </row>
    <row r="5" spans="1:10" s="2" customFormat="1" ht="20.100000000000001" customHeight="1">
      <c r="A5" s="9"/>
      <c r="B5" s="9"/>
    </row>
    <row r="6" spans="1:10" ht="20.100000000000001" customHeight="1">
      <c r="A6" s="35" t="s">
        <v>8</v>
      </c>
      <c r="B6" s="35"/>
    </row>
    <row r="7" spans="1:10" ht="20.100000000000001" customHeight="1">
      <c r="A7" s="7" t="s">
        <v>9</v>
      </c>
      <c r="B7" s="29" t="s">
        <v>10</v>
      </c>
      <c r="C7" s="30"/>
      <c r="D7" s="7" t="s">
        <v>11</v>
      </c>
      <c r="E7" s="7" t="s">
        <v>12</v>
      </c>
      <c r="F7" s="29" t="s">
        <v>13</v>
      </c>
      <c r="G7" s="30"/>
      <c r="H7" s="7" t="s">
        <v>14</v>
      </c>
      <c r="I7" s="29" t="s">
        <v>15</v>
      </c>
      <c r="J7" s="30"/>
    </row>
    <row r="8" spans="1:10" ht="20.100000000000001" customHeight="1">
      <c r="A8" s="11">
        <v>1</v>
      </c>
      <c r="B8" s="24" t="s">
        <v>16</v>
      </c>
      <c r="C8" s="25"/>
      <c r="D8" s="11" t="s">
        <v>17</v>
      </c>
      <c r="E8" s="11" t="s">
        <v>18</v>
      </c>
      <c r="F8" s="31" t="s">
        <v>19</v>
      </c>
      <c r="G8" s="30"/>
      <c r="H8" s="11">
        <v>86207648</v>
      </c>
      <c r="I8" s="24"/>
      <c r="J8" s="25"/>
    </row>
    <row r="9" spans="1:10" ht="20.100000000000001" customHeight="1">
      <c r="A9" s="11">
        <v>2</v>
      </c>
      <c r="B9" s="24" t="s">
        <v>20</v>
      </c>
      <c r="C9" s="25"/>
      <c r="D9" s="11" t="s">
        <v>17</v>
      </c>
      <c r="E9" s="11" t="s">
        <v>21</v>
      </c>
      <c r="F9" s="31" t="s">
        <v>22</v>
      </c>
      <c r="G9" s="30"/>
      <c r="H9" s="11">
        <v>96607351</v>
      </c>
      <c r="I9" s="24"/>
      <c r="J9" s="25"/>
    </row>
    <row r="10" spans="1:10" ht="20.100000000000001" customHeight="1">
      <c r="A10" s="11">
        <v>3</v>
      </c>
      <c r="B10" s="24" t="s">
        <v>23</v>
      </c>
      <c r="C10" s="25"/>
      <c r="D10" s="11" t="s">
        <v>17</v>
      </c>
      <c r="E10" s="11" t="s">
        <v>24</v>
      </c>
      <c r="F10" s="31" t="s">
        <v>25</v>
      </c>
      <c r="G10" s="30"/>
      <c r="H10" s="11">
        <v>90056866</v>
      </c>
      <c r="I10" s="24"/>
      <c r="J10" s="25"/>
    </row>
    <row r="11" spans="1:10" ht="20.100000000000001" customHeight="1">
      <c r="A11" s="11">
        <v>4</v>
      </c>
      <c r="B11" s="24" t="s">
        <v>26</v>
      </c>
      <c r="C11" s="25"/>
      <c r="D11" s="11" t="s">
        <v>17</v>
      </c>
      <c r="E11" s="11" t="s">
        <v>27</v>
      </c>
      <c r="F11" s="31" t="s">
        <v>28</v>
      </c>
      <c r="G11" s="30"/>
      <c r="H11" s="17">
        <v>97671882</v>
      </c>
      <c r="I11" s="24"/>
      <c r="J11" s="25"/>
    </row>
    <row r="12" spans="1:10" ht="20.100000000000001" customHeight="1">
      <c r="A12" s="11">
        <v>5</v>
      </c>
      <c r="B12" s="24"/>
      <c r="C12" s="25"/>
      <c r="D12" s="11"/>
      <c r="E12" s="11"/>
      <c r="F12" s="29"/>
      <c r="G12" s="30"/>
      <c r="H12" s="11"/>
      <c r="I12" s="24"/>
      <c r="J12" s="25"/>
    </row>
    <row r="13" spans="1:10" ht="20.100000000000001" customHeight="1"/>
    <row r="14" spans="1:10" ht="44.1" customHeight="1">
      <c r="A14" s="7" t="s">
        <v>9</v>
      </c>
      <c r="B14" s="34" t="s">
        <v>29</v>
      </c>
      <c r="C14" s="34"/>
      <c r="D14" s="8" t="s">
        <v>30</v>
      </c>
      <c r="E14" s="7" t="s">
        <v>31</v>
      </c>
      <c r="F14" s="7" t="s">
        <v>32</v>
      </c>
      <c r="G14" s="7" t="s">
        <v>33</v>
      </c>
      <c r="H14" s="37" t="s">
        <v>34</v>
      </c>
      <c r="I14" s="37"/>
      <c r="J14" s="37"/>
    </row>
    <row r="15" spans="1:10" ht="20.100000000000001" customHeight="1">
      <c r="A15" s="11">
        <v>1</v>
      </c>
      <c r="B15" s="24"/>
      <c r="C15" s="25"/>
      <c r="D15" s="11"/>
      <c r="E15" s="12" t="s">
        <v>35</v>
      </c>
      <c r="F15" s="11"/>
      <c r="G15" s="12" t="s">
        <v>35</v>
      </c>
      <c r="H15" s="38"/>
      <c r="I15" s="38"/>
      <c r="J15" s="38"/>
    </row>
    <row r="16" spans="1:10" ht="20.100000000000001" customHeight="1">
      <c r="A16" s="11">
        <v>2</v>
      </c>
      <c r="B16" s="24"/>
      <c r="C16" s="25"/>
      <c r="D16" s="11"/>
      <c r="E16" s="12" t="s">
        <v>35</v>
      </c>
      <c r="F16" s="11"/>
      <c r="G16" s="12" t="s">
        <v>35</v>
      </c>
      <c r="H16" s="38"/>
      <c r="I16" s="38"/>
      <c r="J16" s="38"/>
    </row>
    <row r="17" spans="1:10" ht="20.100000000000001" customHeight="1">
      <c r="A17" s="11">
        <v>3</v>
      </c>
      <c r="B17" s="32"/>
      <c r="C17" s="33"/>
      <c r="D17" s="4"/>
      <c r="E17" s="12" t="s">
        <v>35</v>
      </c>
      <c r="F17" s="4"/>
      <c r="G17" s="12" t="s">
        <v>35</v>
      </c>
      <c r="H17" s="36"/>
      <c r="I17" s="36"/>
      <c r="J17" s="36"/>
    </row>
    <row r="18" spans="1:10" ht="20.100000000000001" customHeight="1">
      <c r="A18" s="11">
        <v>4</v>
      </c>
      <c r="B18" s="32"/>
      <c r="C18" s="33"/>
      <c r="D18" s="4"/>
      <c r="E18" s="12" t="s">
        <v>35</v>
      </c>
      <c r="F18" s="4"/>
      <c r="G18" s="12" t="s">
        <v>35</v>
      </c>
      <c r="H18" s="36"/>
      <c r="I18" s="36"/>
      <c r="J18" s="36"/>
    </row>
    <row r="19" spans="1:10" ht="20.100000000000001" customHeight="1">
      <c r="A19" s="11">
        <v>5</v>
      </c>
      <c r="B19" s="32"/>
      <c r="C19" s="33"/>
      <c r="D19" s="4"/>
      <c r="E19" s="12" t="s">
        <v>35</v>
      </c>
      <c r="F19" s="4"/>
      <c r="G19" s="12" t="s">
        <v>35</v>
      </c>
      <c r="H19" s="36"/>
      <c r="I19" s="36"/>
      <c r="J19" s="36"/>
    </row>
    <row r="20" spans="1:10" ht="20.100000000000001" customHeight="1">
      <c r="A20" s="11">
        <v>6</v>
      </c>
      <c r="B20" s="32"/>
      <c r="C20" s="33"/>
      <c r="D20" s="4"/>
      <c r="E20" s="12" t="s">
        <v>35</v>
      </c>
      <c r="F20" s="4"/>
      <c r="G20" s="12" t="s">
        <v>35</v>
      </c>
      <c r="H20" s="36"/>
      <c r="I20" s="36"/>
      <c r="J20" s="36"/>
    </row>
    <row r="21" spans="1:10" ht="20.100000000000001" customHeight="1">
      <c r="A21" s="11">
        <v>7</v>
      </c>
      <c r="B21" s="32"/>
      <c r="C21" s="33"/>
      <c r="D21" s="4"/>
      <c r="E21" s="12" t="s">
        <v>35</v>
      </c>
      <c r="F21" s="4"/>
      <c r="G21" s="12" t="s">
        <v>35</v>
      </c>
      <c r="H21" s="36"/>
      <c r="I21" s="36"/>
      <c r="J21" s="36"/>
    </row>
    <row r="22" spans="1:10" ht="20.100000000000001" customHeight="1">
      <c r="A22" s="11">
        <v>8</v>
      </c>
      <c r="B22" s="32"/>
      <c r="C22" s="33"/>
      <c r="D22" s="4"/>
      <c r="E22" s="12" t="s">
        <v>35</v>
      </c>
      <c r="F22" s="4"/>
      <c r="G22" s="12" t="s">
        <v>35</v>
      </c>
      <c r="H22" s="36"/>
      <c r="I22" s="36"/>
      <c r="J22" s="36"/>
    </row>
    <row r="23" spans="1:10" ht="20.100000000000001" customHeight="1">
      <c r="A23" s="11">
        <v>9</v>
      </c>
      <c r="B23" s="32"/>
      <c r="C23" s="33"/>
      <c r="D23" s="4"/>
      <c r="E23" s="12" t="s">
        <v>35</v>
      </c>
      <c r="F23" s="4"/>
      <c r="G23" s="12" t="s">
        <v>35</v>
      </c>
      <c r="H23" s="36"/>
      <c r="I23" s="36"/>
      <c r="J23" s="36"/>
    </row>
    <row r="24" spans="1:10" ht="20.100000000000001" customHeight="1">
      <c r="A24" s="11">
        <v>10</v>
      </c>
      <c r="B24" s="32"/>
      <c r="C24" s="33"/>
      <c r="D24" s="4"/>
      <c r="E24" s="12" t="s">
        <v>35</v>
      </c>
      <c r="F24" s="4"/>
      <c r="G24" s="12" t="s">
        <v>35</v>
      </c>
      <c r="H24" s="36"/>
      <c r="I24" s="36"/>
      <c r="J24" s="36"/>
    </row>
    <row r="25" spans="1:10" ht="20.100000000000001" customHeight="1">
      <c r="A25" s="11">
        <v>11</v>
      </c>
      <c r="B25" s="32"/>
      <c r="C25" s="33"/>
      <c r="D25" s="4"/>
      <c r="E25" s="12" t="s">
        <v>35</v>
      </c>
      <c r="F25" s="4"/>
      <c r="G25" s="12" t="s">
        <v>35</v>
      </c>
      <c r="H25" s="36"/>
      <c r="I25" s="36"/>
      <c r="J25" s="36"/>
    </row>
    <row r="26" spans="1:10" ht="20.100000000000001" customHeight="1">
      <c r="A26" s="11">
        <v>12</v>
      </c>
      <c r="B26" s="32"/>
      <c r="C26" s="33"/>
      <c r="D26" s="4"/>
      <c r="E26" s="12" t="s">
        <v>35</v>
      </c>
      <c r="F26" s="4"/>
      <c r="G26" s="12" t="s">
        <v>35</v>
      </c>
      <c r="H26" s="36"/>
      <c r="I26" s="36"/>
      <c r="J26" s="36"/>
    </row>
    <row r="27" spans="1:10" ht="20.100000000000001" customHeight="1">
      <c r="A27" s="11">
        <v>13</v>
      </c>
      <c r="B27" s="32"/>
      <c r="C27" s="33"/>
      <c r="D27" s="4"/>
      <c r="E27" s="12" t="s">
        <v>35</v>
      </c>
      <c r="F27" s="4"/>
      <c r="G27" s="12" t="s">
        <v>35</v>
      </c>
      <c r="H27" s="36"/>
      <c r="I27" s="36"/>
      <c r="J27" s="36"/>
    </row>
    <row r="28" spans="1:10" ht="20.100000000000001" customHeight="1">
      <c r="F28" s="7" t="s">
        <v>36</v>
      </c>
      <c r="G28" s="12" t="s">
        <v>35</v>
      </c>
      <c r="H28" s="14"/>
      <c r="I28" s="15"/>
      <c r="J28" s="16"/>
    </row>
    <row r="29" spans="1:10" ht="20.100000000000001" customHeight="1">
      <c r="A29" s="9" t="s">
        <v>37</v>
      </c>
      <c r="B29" s="6"/>
      <c r="C29" s="10"/>
      <c r="D29" s="10"/>
      <c r="E29" s="10"/>
      <c r="F29" s="10"/>
      <c r="G29" s="10"/>
      <c r="H29" s="10"/>
      <c r="I29" s="10"/>
      <c r="J29" s="10"/>
    </row>
    <row r="30" spans="1:10" ht="20.100000000000001" customHeight="1">
      <c r="A30" s="9" t="s">
        <v>38</v>
      </c>
      <c r="B30" s="6"/>
      <c r="C30" s="10"/>
      <c r="D30" s="10"/>
      <c r="E30" s="10"/>
      <c r="F30" s="10"/>
      <c r="G30" s="10"/>
      <c r="H30" s="10"/>
      <c r="I30" s="10"/>
      <c r="J30" s="10"/>
    </row>
    <row r="31" spans="1:10" ht="20.100000000000001" customHeight="1">
      <c r="A31" s="26" t="s">
        <v>39</v>
      </c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20.100000000000001" customHeight="1">
      <c r="A32" s="26" t="s">
        <v>40</v>
      </c>
      <c r="B32" s="26"/>
      <c r="C32" s="26"/>
      <c r="D32" s="26"/>
      <c r="E32" s="26"/>
      <c r="F32" s="26"/>
      <c r="G32" s="26"/>
      <c r="H32" s="26"/>
      <c r="I32" s="26"/>
      <c r="J32" s="26"/>
    </row>
    <row r="33" spans="1:10" ht="20.100000000000001" customHeight="1">
      <c r="A33" s="26" t="s">
        <v>41</v>
      </c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20.100000000000001" customHeight="1">
      <c r="A34" s="27" t="s">
        <v>42</v>
      </c>
      <c r="B34" s="28"/>
      <c r="C34" s="28"/>
      <c r="D34" s="28"/>
      <c r="E34" s="28"/>
      <c r="F34" s="28"/>
      <c r="G34" s="28"/>
      <c r="H34" s="28"/>
      <c r="I34" s="28"/>
      <c r="J34" s="28"/>
    </row>
  </sheetData>
  <mergeCells count="55">
    <mergeCell ref="A32:J32"/>
    <mergeCell ref="H24:J24"/>
    <mergeCell ref="H25:J25"/>
    <mergeCell ref="H26:J26"/>
    <mergeCell ref="H27:J27"/>
    <mergeCell ref="A31:J31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A1:B1"/>
    <mergeCell ref="A2:B2"/>
    <mergeCell ref="A3:B3"/>
    <mergeCell ref="A4:B4"/>
    <mergeCell ref="A6:B6"/>
    <mergeCell ref="B7:C7"/>
    <mergeCell ref="B8:C8"/>
    <mergeCell ref="B9:C9"/>
    <mergeCell ref="B10:C10"/>
    <mergeCell ref="B11:C11"/>
    <mergeCell ref="B20:C20"/>
    <mergeCell ref="B21:C21"/>
    <mergeCell ref="B22:C22"/>
    <mergeCell ref="B12:C12"/>
    <mergeCell ref="B14:C14"/>
    <mergeCell ref="B15:C15"/>
    <mergeCell ref="B16:C16"/>
    <mergeCell ref="B17:C17"/>
    <mergeCell ref="A33:J33"/>
    <mergeCell ref="A34:J34"/>
    <mergeCell ref="I7:J7"/>
    <mergeCell ref="F7:G7"/>
    <mergeCell ref="F8:G8"/>
    <mergeCell ref="F9:G9"/>
    <mergeCell ref="F10:G10"/>
    <mergeCell ref="F11:G11"/>
    <mergeCell ref="B23:C23"/>
    <mergeCell ref="B24:C24"/>
    <mergeCell ref="B25:C25"/>
    <mergeCell ref="B26:C26"/>
    <mergeCell ref="B27:C27"/>
    <mergeCell ref="B18:C18"/>
    <mergeCell ref="B19:C19"/>
    <mergeCell ref="F12:G12"/>
    <mergeCell ref="I8:J8"/>
    <mergeCell ref="I9:J9"/>
    <mergeCell ref="I10:J10"/>
    <mergeCell ref="I11:J11"/>
    <mergeCell ref="I12:J12"/>
  </mergeCells>
  <hyperlinks>
    <hyperlink ref="F8" r:id="rId1" xr:uid="{3FE6F8BF-CE8C-42FD-9BE1-AA17508BD22E}"/>
    <hyperlink ref="F9" r:id="rId2" xr:uid="{B77D1A6A-C867-4313-8B0E-C0DA4004D5B7}"/>
    <hyperlink ref="F10" r:id="rId3" xr:uid="{810BEDC2-482E-4197-BC96-C922C0630CA4}"/>
    <hyperlink ref="F11" r:id="rId4" xr:uid="{0A475338-EED8-4273-A08F-4402095D1ED4}"/>
  </hyperlinks>
  <pageMargins left="0.7" right="0.7" top="0.75" bottom="0.75" header="0.3" footer="0.3"/>
  <pageSetup scale="62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13F6-2C30-4A35-803E-89F716136650}">
  <sheetPr>
    <pageSetUpPr fitToPage="1"/>
  </sheetPr>
  <dimension ref="A1:M37"/>
  <sheetViews>
    <sheetView showGridLines="0" tabSelected="1" topLeftCell="C24" zoomScale="66" zoomScaleNormal="70" workbookViewId="0">
      <selection activeCell="F27" sqref="F27"/>
    </sheetView>
  </sheetViews>
  <sheetFormatPr defaultColWidth="9.140625" defaultRowHeight="12.4"/>
  <cols>
    <col min="1" max="1" width="5.7109375" style="5" customWidth="1"/>
    <col min="2" max="2" width="10.7109375" style="5" customWidth="1"/>
    <col min="3" max="3" width="25.7109375" style="3" customWidth="1"/>
    <col min="4" max="4" width="35.7109375" style="3" customWidth="1"/>
    <col min="5" max="8" width="20.7109375" style="3" customWidth="1"/>
    <col min="9" max="9" width="12.7109375" style="3" customWidth="1"/>
    <col min="10" max="10" width="33.140625" style="3" customWidth="1"/>
    <col min="11" max="12" width="9.140625" style="3"/>
    <col min="13" max="13" width="10.85546875" style="3" bestFit="1" customWidth="1"/>
    <col min="14" max="16384" width="9.140625" style="3"/>
  </cols>
  <sheetData>
    <row r="1" spans="1:10" s="2" customFormat="1" ht="20.100000000000001" customHeight="1">
      <c r="A1" s="35" t="s">
        <v>0</v>
      </c>
      <c r="B1" s="35"/>
      <c r="C1" s="1" t="s">
        <v>1</v>
      </c>
      <c r="D1" s="1"/>
    </row>
    <row r="2" spans="1:10" s="2" customFormat="1" ht="20.100000000000001" customHeight="1">
      <c r="A2" s="26" t="s">
        <v>2</v>
      </c>
      <c r="B2" s="26"/>
      <c r="C2" s="1" t="s">
        <v>3</v>
      </c>
      <c r="D2" s="13"/>
    </row>
    <row r="3" spans="1:10" s="2" customFormat="1" ht="24" customHeight="1">
      <c r="A3" s="35" t="s">
        <v>4</v>
      </c>
      <c r="B3" s="35"/>
      <c r="C3" s="1" t="s">
        <v>5</v>
      </c>
      <c r="D3" s="13"/>
    </row>
    <row r="4" spans="1:10" s="2" customFormat="1" ht="26.25" customHeight="1">
      <c r="A4" s="26" t="s">
        <v>6</v>
      </c>
      <c r="B4" s="26"/>
      <c r="C4" s="1" t="s">
        <v>7</v>
      </c>
      <c r="D4" s="13"/>
    </row>
    <row r="5" spans="1:10" s="2" customFormat="1" ht="20.100000000000001" customHeight="1">
      <c r="A5" s="9"/>
      <c r="B5" s="9"/>
    </row>
    <row r="6" spans="1:10" ht="20.100000000000001" customHeight="1">
      <c r="A6" s="35" t="s">
        <v>8</v>
      </c>
      <c r="B6" s="35"/>
    </row>
    <row r="7" spans="1:10" ht="20.100000000000001" customHeight="1">
      <c r="A7" s="7" t="s">
        <v>9</v>
      </c>
      <c r="B7" s="29" t="s">
        <v>10</v>
      </c>
      <c r="C7" s="30"/>
      <c r="D7" s="7" t="s">
        <v>11</v>
      </c>
      <c r="E7" s="7" t="s">
        <v>12</v>
      </c>
      <c r="F7" s="29" t="s">
        <v>13</v>
      </c>
      <c r="G7" s="30"/>
      <c r="H7" s="7" t="s">
        <v>14</v>
      </c>
      <c r="I7" s="29" t="s">
        <v>15</v>
      </c>
      <c r="J7" s="30"/>
    </row>
    <row r="8" spans="1:10" ht="20.100000000000001" customHeight="1">
      <c r="A8" s="11">
        <v>1</v>
      </c>
      <c r="B8" s="24" t="s">
        <v>16</v>
      </c>
      <c r="C8" s="25"/>
      <c r="D8" s="11" t="s">
        <v>17</v>
      </c>
      <c r="E8" s="11" t="s">
        <v>18</v>
      </c>
      <c r="F8" s="31" t="s">
        <v>19</v>
      </c>
      <c r="G8" s="30"/>
      <c r="H8" s="11">
        <v>86207648</v>
      </c>
      <c r="I8" s="24"/>
      <c r="J8" s="25"/>
    </row>
    <row r="9" spans="1:10" ht="20.100000000000001" customHeight="1">
      <c r="A9" s="11">
        <v>2</v>
      </c>
      <c r="B9" s="24" t="s">
        <v>20</v>
      </c>
      <c r="C9" s="25"/>
      <c r="D9" s="11" t="s">
        <v>17</v>
      </c>
      <c r="E9" s="11" t="s">
        <v>21</v>
      </c>
      <c r="F9" s="31" t="s">
        <v>22</v>
      </c>
      <c r="G9" s="30"/>
      <c r="H9" s="11">
        <v>96607351</v>
      </c>
      <c r="I9" s="24"/>
      <c r="J9" s="25"/>
    </row>
    <row r="10" spans="1:10" ht="20.100000000000001" customHeight="1">
      <c r="A10" s="11">
        <v>3</v>
      </c>
      <c r="B10" s="24" t="s">
        <v>23</v>
      </c>
      <c r="C10" s="25"/>
      <c r="D10" s="11" t="s">
        <v>17</v>
      </c>
      <c r="E10" s="11" t="s">
        <v>24</v>
      </c>
      <c r="F10" s="31" t="s">
        <v>25</v>
      </c>
      <c r="G10" s="30"/>
      <c r="H10" s="11">
        <v>90056866</v>
      </c>
      <c r="I10" s="24"/>
      <c r="J10" s="25"/>
    </row>
    <row r="11" spans="1:10" ht="20.100000000000001" customHeight="1">
      <c r="A11" s="11">
        <v>4</v>
      </c>
      <c r="B11" s="24" t="s">
        <v>26</v>
      </c>
      <c r="C11" s="25"/>
      <c r="D11" s="11" t="s">
        <v>17</v>
      </c>
      <c r="E11" s="11" t="s">
        <v>27</v>
      </c>
      <c r="F11" s="31" t="s">
        <v>28</v>
      </c>
      <c r="G11" s="30"/>
      <c r="H11" s="17">
        <v>97671882</v>
      </c>
      <c r="I11" s="24"/>
      <c r="J11" s="25"/>
    </row>
    <row r="12" spans="1:10" ht="20.100000000000001" customHeight="1">
      <c r="A12" s="11">
        <v>5</v>
      </c>
      <c r="B12" s="24"/>
      <c r="C12" s="25"/>
      <c r="D12" s="11"/>
      <c r="E12" s="11"/>
      <c r="F12" s="29"/>
      <c r="G12" s="30"/>
      <c r="H12" s="11"/>
      <c r="I12" s="24"/>
      <c r="J12" s="25"/>
    </row>
    <row r="13" spans="1:10" ht="20.100000000000001" customHeight="1"/>
    <row r="14" spans="1:10" ht="44.1" customHeight="1">
      <c r="A14" s="7" t="s">
        <v>9</v>
      </c>
      <c r="B14" s="34" t="s">
        <v>29</v>
      </c>
      <c r="C14" s="34"/>
      <c r="D14" s="8" t="s">
        <v>30</v>
      </c>
      <c r="E14" s="7" t="s">
        <v>31</v>
      </c>
      <c r="F14" s="7" t="s">
        <v>32</v>
      </c>
      <c r="G14" s="7" t="s">
        <v>33</v>
      </c>
      <c r="H14" s="37" t="s">
        <v>34</v>
      </c>
      <c r="I14" s="37"/>
      <c r="J14" s="37"/>
    </row>
    <row r="15" spans="1:10" ht="48" customHeight="1">
      <c r="A15" s="11">
        <v>1</v>
      </c>
      <c r="B15" s="39" t="s">
        <v>43</v>
      </c>
      <c r="C15" s="40"/>
      <c r="D15" s="19" t="s">
        <v>44</v>
      </c>
      <c r="E15" s="20">
        <v>78.569999999999993</v>
      </c>
      <c r="F15" s="19">
        <v>1</v>
      </c>
      <c r="G15" s="20">
        <v>78.569999999999993</v>
      </c>
      <c r="H15" s="41" t="s">
        <v>45</v>
      </c>
      <c r="I15" s="42"/>
      <c r="J15" s="43"/>
    </row>
    <row r="16" spans="1:10" ht="40.9" customHeight="1">
      <c r="A16" s="11">
        <v>2</v>
      </c>
      <c r="B16" s="44" t="s">
        <v>46</v>
      </c>
      <c r="C16" s="45"/>
      <c r="D16" s="11" t="s">
        <v>44</v>
      </c>
      <c r="E16" s="20">
        <v>85.36</v>
      </c>
      <c r="F16" s="11">
        <v>1</v>
      </c>
      <c r="G16" s="20">
        <v>85.36</v>
      </c>
      <c r="H16" s="46" t="s">
        <v>47</v>
      </c>
      <c r="I16" s="47"/>
      <c r="J16" s="47"/>
    </row>
    <row r="17" spans="1:13" ht="50.65" customHeight="1">
      <c r="A17" s="11">
        <v>3</v>
      </c>
      <c r="B17" s="44" t="s">
        <v>48</v>
      </c>
      <c r="C17" s="45"/>
      <c r="D17" s="11" t="s">
        <v>44</v>
      </c>
      <c r="E17" s="20">
        <v>6.96</v>
      </c>
      <c r="F17" s="11">
        <v>3</v>
      </c>
      <c r="G17" s="20">
        <v>20.88</v>
      </c>
      <c r="H17" s="46" t="s">
        <v>49</v>
      </c>
      <c r="I17" s="47"/>
      <c r="J17" s="47"/>
    </row>
    <row r="18" spans="1:13" ht="50.65" customHeight="1">
      <c r="A18" s="11">
        <v>4</v>
      </c>
      <c r="B18" s="44" t="s">
        <v>50</v>
      </c>
      <c r="C18" s="45"/>
      <c r="D18" s="11" t="s">
        <v>44</v>
      </c>
      <c r="E18" s="20">
        <v>113.93</v>
      </c>
      <c r="F18" s="11">
        <v>1</v>
      </c>
      <c r="G18" s="20">
        <f>E18*F18</f>
        <v>113.93</v>
      </c>
      <c r="H18" s="46" t="s">
        <v>51</v>
      </c>
      <c r="I18" s="46"/>
      <c r="J18" s="46"/>
    </row>
    <row r="19" spans="1:13" ht="50.65" customHeight="1">
      <c r="A19" s="11">
        <v>5</v>
      </c>
      <c r="B19" s="44" t="s">
        <v>52</v>
      </c>
      <c r="C19" s="45"/>
      <c r="D19" s="11" t="s">
        <v>44</v>
      </c>
      <c r="E19" s="20">
        <v>170.99</v>
      </c>
      <c r="F19" s="11">
        <v>1</v>
      </c>
      <c r="G19" s="20">
        <f>E19*F19</f>
        <v>170.99</v>
      </c>
      <c r="H19" s="46" t="s">
        <v>53</v>
      </c>
      <c r="I19" s="46"/>
      <c r="J19" s="46"/>
    </row>
    <row r="20" spans="1:13" ht="113.25" customHeight="1">
      <c r="A20" s="11">
        <v>6</v>
      </c>
      <c r="B20" s="44" t="s">
        <v>54</v>
      </c>
      <c r="C20" s="45"/>
      <c r="D20" s="11" t="s">
        <v>44</v>
      </c>
      <c r="E20" s="20">
        <v>10.53</v>
      </c>
      <c r="F20" s="11">
        <v>1</v>
      </c>
      <c r="G20" s="20">
        <v>10.53</v>
      </c>
      <c r="H20" s="46" t="s">
        <v>55</v>
      </c>
      <c r="I20" s="47"/>
      <c r="J20" s="47"/>
    </row>
    <row r="21" spans="1:13" ht="44.65" customHeight="1">
      <c r="A21" s="11">
        <v>7</v>
      </c>
      <c r="B21" s="44" t="s">
        <v>56</v>
      </c>
      <c r="C21" s="45"/>
      <c r="D21" s="11" t="s">
        <v>44</v>
      </c>
      <c r="E21" s="20">
        <v>1.22</v>
      </c>
      <c r="F21" s="11">
        <v>10</v>
      </c>
      <c r="G21" s="20">
        <v>12.23</v>
      </c>
      <c r="H21" s="46" t="s">
        <v>57</v>
      </c>
      <c r="I21" s="47"/>
      <c r="J21" s="47"/>
    </row>
    <row r="22" spans="1:13" ht="40.15" customHeight="1">
      <c r="A22" s="11">
        <v>8</v>
      </c>
      <c r="B22" s="44" t="s">
        <v>58</v>
      </c>
      <c r="C22" s="45"/>
      <c r="D22" s="11" t="s">
        <v>44</v>
      </c>
      <c r="E22" s="20">
        <v>234.53</v>
      </c>
      <c r="F22" s="11">
        <v>1</v>
      </c>
      <c r="G22" s="20">
        <v>234.53</v>
      </c>
      <c r="H22" s="46" t="s">
        <v>59</v>
      </c>
      <c r="I22" s="47"/>
      <c r="J22" s="47"/>
    </row>
    <row r="23" spans="1:13" ht="45.75" customHeight="1">
      <c r="A23" s="11">
        <v>9</v>
      </c>
      <c r="B23" s="44" t="s">
        <v>60</v>
      </c>
      <c r="C23" s="45"/>
      <c r="D23" s="11" t="s">
        <v>44</v>
      </c>
      <c r="E23" s="20">
        <v>40.18</v>
      </c>
      <c r="F23" s="11">
        <v>1</v>
      </c>
      <c r="G23" s="20">
        <v>40.18</v>
      </c>
      <c r="H23" s="46" t="s">
        <v>61</v>
      </c>
      <c r="I23" s="47"/>
      <c r="J23" s="47"/>
    </row>
    <row r="24" spans="1:13" ht="177" customHeight="1">
      <c r="A24" s="11">
        <v>10</v>
      </c>
      <c r="B24" s="44" t="s">
        <v>62</v>
      </c>
      <c r="C24" s="45"/>
      <c r="D24" s="11" t="s">
        <v>44</v>
      </c>
      <c r="E24" s="20">
        <v>99.63</v>
      </c>
      <c r="F24" s="11">
        <v>1</v>
      </c>
      <c r="G24" s="20">
        <v>99.63</v>
      </c>
      <c r="H24" s="46" t="s">
        <v>63</v>
      </c>
      <c r="I24" s="46"/>
      <c r="J24" s="46"/>
    </row>
    <row r="25" spans="1:13" ht="96.4" customHeight="1">
      <c r="A25" s="11">
        <v>11</v>
      </c>
      <c r="B25" s="44" t="s">
        <v>64</v>
      </c>
      <c r="C25" s="45"/>
      <c r="D25" s="11" t="s">
        <v>44</v>
      </c>
      <c r="E25" s="20">
        <v>9.98</v>
      </c>
      <c r="F25" s="11">
        <v>1</v>
      </c>
      <c r="G25" s="20">
        <v>9.98</v>
      </c>
      <c r="H25" s="46" t="s">
        <v>65</v>
      </c>
      <c r="I25" s="47"/>
      <c r="J25" s="47"/>
    </row>
    <row r="26" spans="1:13" ht="33.950000000000003" customHeight="1">
      <c r="A26" s="11">
        <v>12</v>
      </c>
      <c r="B26" s="44" t="s">
        <v>66</v>
      </c>
      <c r="C26" s="45"/>
      <c r="D26" s="11" t="s">
        <v>44</v>
      </c>
      <c r="E26" s="20">
        <v>27.62</v>
      </c>
      <c r="F26" s="11">
        <v>14</v>
      </c>
      <c r="G26" s="20">
        <v>386.68</v>
      </c>
      <c r="H26" s="46" t="s">
        <v>67</v>
      </c>
      <c r="I26" s="47"/>
      <c r="J26" s="47"/>
    </row>
    <row r="27" spans="1:13" ht="61.9" customHeight="1">
      <c r="A27" s="11">
        <v>13</v>
      </c>
      <c r="B27" s="44" t="s">
        <v>68</v>
      </c>
      <c r="C27" s="45"/>
      <c r="D27" s="11" t="s">
        <v>44</v>
      </c>
      <c r="E27" s="20">
        <v>7.35</v>
      </c>
      <c r="F27" s="11">
        <v>2</v>
      </c>
      <c r="G27" s="20">
        <f>E27*2</f>
        <v>14.7</v>
      </c>
      <c r="H27" s="46" t="s">
        <v>69</v>
      </c>
      <c r="I27" s="46"/>
      <c r="J27" s="46"/>
    </row>
    <row r="28" spans="1:13" ht="20.100000000000001" customHeight="1">
      <c r="A28" s="11">
        <v>14</v>
      </c>
      <c r="B28" s="44" t="s">
        <v>70</v>
      </c>
      <c r="C28" s="45"/>
      <c r="D28" s="11" t="s">
        <v>44</v>
      </c>
      <c r="E28" s="20">
        <v>2.1800000000000002</v>
      </c>
      <c r="F28" s="11">
        <v>1</v>
      </c>
      <c r="G28" s="20">
        <v>2.1800000000000002</v>
      </c>
      <c r="H28" s="47" t="s">
        <v>71</v>
      </c>
      <c r="I28" s="47"/>
      <c r="J28" s="47"/>
      <c r="M28" s="18"/>
    </row>
    <row r="29" spans="1:13" ht="20.100000000000001" customHeight="1">
      <c r="A29" s="11">
        <v>15</v>
      </c>
      <c r="B29" s="44" t="s">
        <v>72</v>
      </c>
      <c r="C29" s="45"/>
      <c r="D29" s="11" t="s">
        <v>44</v>
      </c>
      <c r="E29" s="20">
        <v>3.92</v>
      </c>
      <c r="F29" s="11">
        <v>8</v>
      </c>
      <c r="G29" s="20">
        <v>31.36</v>
      </c>
      <c r="H29" s="47" t="s">
        <v>73</v>
      </c>
      <c r="I29" s="47"/>
      <c r="J29" s="47"/>
    </row>
    <row r="30" spans="1:13" ht="20.100000000000001" customHeight="1">
      <c r="A30" s="11">
        <v>16</v>
      </c>
      <c r="B30" s="44" t="s">
        <v>74</v>
      </c>
      <c r="C30" s="45"/>
      <c r="D30" s="11" t="s">
        <v>44</v>
      </c>
      <c r="E30" s="20">
        <v>27.59</v>
      </c>
      <c r="F30" s="11">
        <v>1</v>
      </c>
      <c r="G30" s="20">
        <v>27.59</v>
      </c>
      <c r="H30" s="47" t="s">
        <v>75</v>
      </c>
      <c r="I30" s="47"/>
      <c r="J30" s="47"/>
    </row>
    <row r="31" spans="1:13" ht="20.100000000000001" customHeight="1">
      <c r="F31" s="7" t="s">
        <v>36</v>
      </c>
      <c r="G31" s="12">
        <f>SUM(G15:G30)</f>
        <v>1339.32</v>
      </c>
      <c r="H31" s="21"/>
      <c r="I31" s="22"/>
      <c r="J31" s="23"/>
    </row>
    <row r="32" spans="1:13" ht="20.100000000000001" customHeight="1">
      <c r="A32" s="9" t="s">
        <v>37</v>
      </c>
      <c r="B32" s="6"/>
      <c r="C32" s="10"/>
      <c r="D32" s="10"/>
      <c r="E32" s="10"/>
      <c r="F32" s="10"/>
      <c r="G32" s="10"/>
      <c r="H32" s="10"/>
      <c r="I32" s="10"/>
      <c r="J32" s="10"/>
    </row>
    <row r="33" spans="1:10" ht="20.100000000000001" customHeight="1">
      <c r="A33" s="9" t="s">
        <v>38</v>
      </c>
      <c r="B33" s="6"/>
      <c r="C33" s="10"/>
      <c r="D33" s="10"/>
      <c r="E33" s="10"/>
      <c r="F33" s="10"/>
      <c r="G33" s="10"/>
      <c r="H33" s="10"/>
      <c r="I33" s="10"/>
      <c r="J33" s="10"/>
    </row>
    <row r="34" spans="1:10" ht="20.100000000000001" customHeight="1">
      <c r="A34" s="26" t="s">
        <v>39</v>
      </c>
      <c r="B34" s="26"/>
      <c r="C34" s="26"/>
      <c r="D34" s="26"/>
      <c r="E34" s="26"/>
      <c r="F34" s="26"/>
      <c r="G34" s="26"/>
      <c r="H34" s="26"/>
      <c r="I34" s="26"/>
      <c r="J34" s="26"/>
    </row>
    <row r="35" spans="1:10" ht="20.100000000000001" customHeight="1">
      <c r="A35" s="26" t="s">
        <v>40</v>
      </c>
      <c r="B35" s="26"/>
      <c r="C35" s="26"/>
      <c r="D35" s="26"/>
      <c r="E35" s="26"/>
      <c r="F35" s="26"/>
      <c r="G35" s="26"/>
      <c r="H35" s="26"/>
      <c r="I35" s="26"/>
      <c r="J35" s="26"/>
    </row>
    <row r="36" spans="1:10" ht="20.100000000000001" customHeight="1">
      <c r="A36" s="26" t="s">
        <v>41</v>
      </c>
      <c r="B36" s="26"/>
      <c r="C36" s="26"/>
      <c r="D36" s="26"/>
      <c r="E36" s="26"/>
      <c r="F36" s="26"/>
      <c r="G36" s="26"/>
      <c r="H36" s="26"/>
      <c r="I36" s="26"/>
      <c r="J36" s="26"/>
    </row>
    <row r="37" spans="1:10" ht="20.100000000000001" customHeight="1">
      <c r="A37" s="27" t="s">
        <v>42</v>
      </c>
      <c r="B37" s="28"/>
      <c r="C37" s="28"/>
      <c r="D37" s="28"/>
      <c r="E37" s="28"/>
      <c r="F37" s="28"/>
      <c r="G37" s="28"/>
      <c r="H37" s="28"/>
      <c r="I37" s="28"/>
      <c r="J37" s="28"/>
    </row>
  </sheetData>
  <mergeCells count="61">
    <mergeCell ref="A34:J34"/>
    <mergeCell ref="A35:J35"/>
    <mergeCell ref="A36:J36"/>
    <mergeCell ref="A37:J37"/>
    <mergeCell ref="B28:C28"/>
    <mergeCell ref="H28:J28"/>
    <mergeCell ref="B29:C29"/>
    <mergeCell ref="H29:J29"/>
    <mergeCell ref="B30:C30"/>
    <mergeCell ref="H30:J30"/>
    <mergeCell ref="B27:C27"/>
    <mergeCell ref="H27:J27"/>
    <mergeCell ref="B18:C18"/>
    <mergeCell ref="H18:J18"/>
    <mergeCell ref="H21:J21"/>
    <mergeCell ref="B21:C21"/>
    <mergeCell ref="B23:C23"/>
    <mergeCell ref="H23:J23"/>
    <mergeCell ref="B24:C24"/>
    <mergeCell ref="H24:J24"/>
    <mergeCell ref="B26:C26"/>
    <mergeCell ref="H26:J26"/>
    <mergeCell ref="H25:J25"/>
    <mergeCell ref="B25:C25"/>
    <mergeCell ref="B16:C16"/>
    <mergeCell ref="H16:J16"/>
    <mergeCell ref="B20:C20"/>
    <mergeCell ref="H20:J20"/>
    <mergeCell ref="B22:C22"/>
    <mergeCell ref="H22:J22"/>
    <mergeCell ref="H19:J19"/>
    <mergeCell ref="B19:C19"/>
    <mergeCell ref="B17:C17"/>
    <mergeCell ref="H17:J17"/>
    <mergeCell ref="B15:C15"/>
    <mergeCell ref="H15:J15"/>
    <mergeCell ref="B10:C10"/>
    <mergeCell ref="F10:G10"/>
    <mergeCell ref="I10:J10"/>
    <mergeCell ref="B11:C11"/>
    <mergeCell ref="F11:G11"/>
    <mergeCell ref="I11:J11"/>
    <mergeCell ref="B12:C12"/>
    <mergeCell ref="F12:G12"/>
    <mergeCell ref="I12:J12"/>
    <mergeCell ref="B14:C14"/>
    <mergeCell ref="H14:J14"/>
    <mergeCell ref="B9:C9"/>
    <mergeCell ref="F9:G9"/>
    <mergeCell ref="I9:J9"/>
    <mergeCell ref="A1:B1"/>
    <mergeCell ref="A2:B2"/>
    <mergeCell ref="A3:B3"/>
    <mergeCell ref="A4:B4"/>
    <mergeCell ref="A6:B6"/>
    <mergeCell ref="B7:C7"/>
    <mergeCell ref="F7:G7"/>
    <mergeCell ref="I7:J7"/>
    <mergeCell ref="B8:C8"/>
    <mergeCell ref="F8:G8"/>
    <mergeCell ref="I8:J8"/>
  </mergeCells>
  <hyperlinks>
    <hyperlink ref="F8" r:id="rId1" xr:uid="{CF73DE21-31EC-4FB3-B896-DC42AE478305}"/>
    <hyperlink ref="F9" r:id="rId2" xr:uid="{3FE2E272-667A-4F5D-8FDB-C8E5245ABCCC}"/>
    <hyperlink ref="F10" r:id="rId3" xr:uid="{4C446B14-6ECB-4E01-9AB2-61D5F17D9338}"/>
    <hyperlink ref="F11" r:id="rId4" xr:uid="{F8B5EB95-66F3-426A-9125-36653FCE19C3}"/>
    <hyperlink ref="H27:J27" r:id="rId5" display="https://www.decathlon.sg/p/blue-foam-118-cm-noodle-nabaiji-8543778.html?srsltid=AfmBOoq7OWp39HbBe4TYj1mNBtR9pZNk-IuRpIJxd-FUjgIZvtaepiyJ" xr:uid="{8720DB77-AA1D-41EC-9A2F-915A23D5FE6E}"/>
    <hyperlink ref="H18:J18" r:id="rId6" display="https://sg.cytron.io/p-raspberry-pi-7-inch-touch-screen-display" xr:uid="{7C2E946B-374E-4285-871C-CF446F3D64BE}"/>
    <hyperlink ref="H15" r:id="rId7" display="https://sg.cytron.io/p-10amp-7v-35v-smartdrive-dc-motor-driver-2-channels" xr:uid="{726A23E2-7131-4ED7-9413-5534D0BE7B87}"/>
    <hyperlink ref="H16" r:id="rId8" display="https://sg.cytron.io/p-arduino-mega-2560-r3-main-board" xr:uid="{0F77C060-2227-4CCA-B20B-6D071A3D0387}"/>
    <hyperlink ref="H20" r:id="rId9" display="https://sg.element14.com/multicomp/mc002725/usb-cable-2-0-type-plug-a-b-6/dp/2907948?&amp;CMP=KNC-GSG-SHOPPING-PMAX-TOP-AOV-CATEGORY&amp;mckv=_dc%7Cpcrid%7C%7Cpkw%7C%7Cpmt%7C%7Cslid%7C%7Cproduct%7C2907948%7Cpgrid%7C%7Cptaid%7C%7C&amp;gad_source=1&amp;gclid=CjwKCAjwoJa2BhBPEiwA0l0ImMHqZzrhQ9-U4nlsNKQ8DRcCPYKN52Te8F33qjO6PO7eF4Ptmam5zBoCqlAQAvD_BwE" xr:uid="{EDB05441-A48D-4077-A5F6-99F02B072E79}"/>
    <hyperlink ref="H17" r:id="rId10" display="https://sg.cytron.io/p-fpc-22-way-to-15-way-for-camera" xr:uid="{8A95BC6B-8D47-47D4-A082-994BC07C3A61}"/>
    <hyperlink ref="H21" r:id="rId11" display="https://sg.element14.com/camdenboss/ctsn433-2/terminal-block-barrier-2pos-14awg/dp/2321065" xr:uid="{D26BD194-34B0-4FFA-93E3-948356D5D84E}"/>
    <hyperlink ref="H22" r:id="rId12" display="https://www.battery.com.sg/product/24v-10ah-18650-7s4p-lithium-ion-battery" xr:uid="{6078D16E-FEA4-453C-8E0F-04EA0F3FFF12}"/>
    <hyperlink ref="H23" r:id="rId13" display="https://www.battery.com.sg/product/294v-7-cells-li-ion-battery-charger" xr:uid="{9600D5CE-362A-4CE1-9766-D38EC36F437B}"/>
    <hyperlink ref="H24:J24" r:id="rId14" display="https://www.aliexpress.com/item/32864056507.html?spm=a2g0o.detail.pcDetailBottomMoreOtherSeller.1.3326xhxkxhxkZW&amp;gps-id=pcDetailBottomMoreOtherSeller&amp;scm=1007.40050.354490.0&amp;scm_id=1007.40050.354490.0&amp;scm-url=1007.40050.354490.0&amp;pvid=76390eb5-4956-4112-bfef-79b4eda83e48&amp;_t=gps-id:pcDetailBottomMoreOtherSeller,scm-url:1007.40050.354490.0,pvid:76390eb5-4956-4112-bfef-79b4eda83e48,tpp_buckets:668%232846%238112%231997&amp;pdp_npi=4%40dis%21SGD%2134.46%2124.46%21%21%2125.61%2118.18%21%402101584517243021673791198e5efe%2112000038911104278%21rec%21SG%21%21ABXZ&amp;utparam-url=scene%3ApcDetailBottomMoreOtherSeller%7Cquery_from%3A" xr:uid="{E1906CAF-FF2D-4EBB-94DE-E21C2B61CC00}"/>
    <hyperlink ref="H25" r:id="rId15" display="https://shopee.sg/30Pcs-Reusable-Fastening-Cable-Straps-with-Buckle-Variety-Sizes-Multi-Purpose-Cinch-Strap-for-Bike-Boat-Extension-Cords-Ropes-Hoses-Organization-i.423823734.21436223776?xptdk=79ae1312-bf03-44f3-98ac-ad75b8e69f09" xr:uid="{71D1BFC6-7457-48FD-9B85-A67E891DAD4B}"/>
    <hyperlink ref="H26" r:id="rId16" display="https://www.amazon.sg/Zzrywuty-Sheets-59x13in-Density-Cosplay/dp/B0CP228G75?th=1" xr:uid="{F0B9ADAF-C76C-4160-B389-DD008F746399}"/>
    <hyperlink ref="H19:J19" r:id="rId17" display="https://sg.cytron.io/p-raspberry-pi-7-inch-touch-screen-display" xr:uid="{8C478363-7229-4623-AB72-BA41A4552649}"/>
    <hyperlink ref="H19" r:id="rId18" display="https://sg.cytron.io/c-raspberry-pi-main-board/p-raspberry-pi-5" xr:uid="{CF30621F-F475-4CAF-A1AA-2AFC09F1B34A}"/>
  </hyperlinks>
  <pageMargins left="0.7" right="0.7" top="0.75" bottom="0.75" header="0.3" footer="0.3"/>
  <pageSetup scale="53" orientation="landscape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C68C6-5758-4330-9C46-920A64283881}"/>
</file>

<file path=customXml/itemProps2.xml><?xml version="1.0" encoding="utf-8"?>
<ds:datastoreItem xmlns:ds="http://schemas.openxmlformats.org/officeDocument/2006/customXml" ds:itemID="{2057A3CC-256D-434E-8227-130FC12611BE}"/>
</file>

<file path=customXml/itemProps3.xml><?xml version="1.0" encoding="utf-8"?>
<ds:datastoreItem xmlns:ds="http://schemas.openxmlformats.org/officeDocument/2006/customXml" ds:itemID="{E63813DA-1F6E-4B3F-8B0D-5BC43EF42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Ramie Lim Rui Min</cp:lastModifiedBy>
  <cp:revision/>
  <dcterms:created xsi:type="dcterms:W3CDTF">2013-03-14T08:51:15Z</dcterms:created>
  <dcterms:modified xsi:type="dcterms:W3CDTF">2024-08-23T09:04:01Z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